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C:\Users\JONATHAN\Downloads\"/>
    </mc:Choice>
  </mc:AlternateContent>
  <xr:revisionPtr revIDLastSave="0" documentId="13_ncr:1_{41C95533-0197-410B-AFF0-5139FCAF9ECA}" xr6:coauthVersionLast="47" xr6:coauthVersionMax="47" xr10:uidLastSave="{00000000-0000-0000-0000-000000000000}"/>
  <bookViews>
    <workbookView xWindow="-120" yWindow="-120" windowWidth="20730" windowHeight="11040" activeTab="2" xr2:uid="{00000000-000D-0000-FFFF-FFFF00000000}"/>
  </bookViews>
  <sheets>
    <sheet name="PRINT" sheetId="10" r:id="rId1"/>
    <sheet name="GEN" sheetId="1" r:id="rId2"/>
    <sheet name="Data" sheetId="9" r:id="rId3"/>
    <sheet name="REF" sheetId="5" r:id="rId4"/>
    <sheet name="QST" sheetId="6" r:id="rId5"/>
    <sheet name="e" sheetId="3" r:id="rId6"/>
  </sheets>
  <functionGroups builtInGroupCount="19"/>
  <externalReferences>
    <externalReference r:id="rId7"/>
  </externalReferences>
  <definedNames>
    <definedName name="_xlnm._FilterDatabase" localSheetId="2" hidden="1">Data!$C$12:$AK$742</definedName>
    <definedName name="_xlnm.Print_Area" localSheetId="1">GEN!$B$4:$AD$60</definedName>
    <definedName name="_xlnm.Print_Area" localSheetId="0">PRINT!$B$4:$BH$116</definedName>
    <definedName name="_xlnm.Print_Area" localSheetId="4">QST!$B$3:$AO$99</definedName>
    <definedName name="_xlnm.Print_Area" localSheetId="3">REF!$B$3:$AR$102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G5" i="9" l="1"/>
  <c r="A12" i="9" l="1"/>
  <c r="A13" i="9"/>
  <c r="A14" i="9"/>
  <c r="A17" i="9"/>
  <c r="A18" i="9"/>
  <c r="A19" i="9"/>
  <c r="A20" i="9"/>
  <c r="A21" i="9"/>
  <c r="A22" i="9"/>
  <c r="A23" i="9"/>
  <c r="A24" i="9"/>
  <c r="A25" i="9"/>
  <c r="A26" i="9"/>
  <c r="A29" i="9"/>
  <c r="A30" i="9"/>
  <c r="A31" i="9"/>
  <c r="A32" i="9"/>
  <c r="A34" i="9"/>
  <c r="A35"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7"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6" i="9"/>
  <c r="A188" i="9"/>
  <c r="A189" i="9"/>
  <c r="A190" i="9"/>
  <c r="A191" i="9"/>
  <c r="A200" i="9"/>
  <c r="A203" i="9"/>
  <c r="A207" i="9"/>
  <c r="A208" i="9"/>
  <c r="A209" i="9"/>
  <c r="A211" i="9"/>
  <c r="A212"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2" i="9"/>
  <c r="A273" i="9"/>
  <c r="A274" i="9"/>
  <c r="A275" i="9"/>
  <c r="A276" i="9"/>
  <c r="A277" i="9"/>
  <c r="A278" i="9"/>
  <c r="A279" i="9"/>
  <c r="A280"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5" i="9"/>
  <c r="A326" i="9"/>
  <c r="A327" i="9"/>
  <c r="A328" i="9"/>
  <c r="A329" i="9"/>
  <c r="A330" i="9"/>
  <c r="A331" i="9"/>
  <c r="A332" i="9"/>
  <c r="A333" i="9"/>
  <c r="A334" i="9"/>
  <c r="A335" i="9"/>
  <c r="A336" i="9"/>
  <c r="A337" i="9"/>
  <c r="A338" i="9"/>
  <c r="A339" i="9"/>
  <c r="A340" i="9"/>
  <c r="A341" i="9"/>
  <c r="A342" i="9"/>
  <c r="A343" i="9"/>
  <c r="A344" i="9"/>
  <c r="A346" i="9"/>
  <c r="A347" i="9"/>
  <c r="A349" i="9"/>
  <c r="A350" i="9"/>
  <c r="A351" i="9"/>
  <c r="A352" i="9"/>
  <c r="A356" i="9"/>
  <c r="A358" i="9"/>
  <c r="A359" i="9"/>
  <c r="A361" i="9"/>
  <c r="A362" i="9"/>
  <c r="A365" i="9"/>
  <c r="A366" i="9"/>
  <c r="A367" i="9"/>
  <c r="A368" i="9"/>
  <c r="A369" i="9"/>
  <c r="A370" i="9"/>
  <c r="A371" i="9"/>
  <c r="A372" i="9"/>
  <c r="A373" i="9"/>
  <c r="A374" i="9"/>
  <c r="A376" i="9"/>
  <c r="A377" i="9"/>
  <c r="A379" i="9"/>
  <c r="A380" i="9"/>
  <c r="A381" i="9"/>
  <c r="A382" i="9"/>
  <c r="A383" i="9"/>
  <c r="A384" i="9"/>
  <c r="A385" i="9"/>
  <c r="A386" i="9"/>
  <c r="A387" i="9"/>
  <c r="A388" i="9"/>
  <c r="A389" i="9"/>
  <c r="A390" i="9"/>
  <c r="A391" i="9"/>
  <c r="A392" i="9"/>
  <c r="A393" i="9"/>
  <c r="A394" i="9"/>
  <c r="A396" i="9"/>
  <c r="A397" i="9"/>
  <c r="A398" i="9"/>
  <c r="A399" i="9"/>
  <c r="A400" i="9"/>
  <c r="A401" i="9"/>
  <c r="A402" i="9"/>
  <c r="A403" i="9"/>
  <c r="A405" i="9"/>
  <c r="A406" i="9"/>
  <c r="A407" i="9"/>
  <c r="A408" i="9"/>
  <c r="A409" i="9"/>
  <c r="A410" i="9"/>
  <c r="A411" i="9"/>
  <c r="A412" i="9"/>
  <c r="A413" i="9"/>
  <c r="A414" i="9"/>
  <c r="A415" i="9"/>
  <c r="A416" i="9"/>
  <c r="A417" i="9"/>
  <c r="A418" i="9"/>
  <c r="A419" i="9"/>
  <c r="A404" i="9"/>
  <c r="A395" i="9"/>
  <c r="A378" i="9"/>
  <c r="A375" i="9"/>
  <c r="A364" i="9"/>
  <c r="A363" i="9"/>
  <c r="A360" i="9"/>
  <c r="A357" i="9"/>
  <c r="A355" i="9"/>
  <c r="A354" i="9"/>
  <c r="A353" i="9"/>
  <c r="A348" i="9"/>
  <c r="A345" i="9"/>
  <c r="A324" i="9"/>
  <c r="A323" i="9"/>
  <c r="A281" i="9"/>
  <c r="A271" i="9"/>
  <c r="A214" i="9"/>
  <c r="A213" i="9"/>
  <c r="A210" i="9"/>
  <c r="A206" i="9"/>
  <c r="A205" i="9"/>
  <c r="A204" i="9"/>
  <c r="A202" i="9"/>
  <c r="A201" i="9"/>
  <c r="A199" i="9"/>
  <c r="A198" i="9"/>
  <c r="A197" i="9"/>
  <c r="A196" i="9"/>
  <c r="A195" i="9"/>
  <c r="A194" i="9"/>
  <c r="A193" i="9"/>
  <c r="A192" i="9"/>
  <c r="A187" i="9"/>
  <c r="A185" i="9"/>
  <c r="A184" i="9"/>
  <c r="A183" i="9"/>
  <c r="A153" i="9"/>
  <c r="A152" i="9"/>
  <c r="A151" i="9"/>
  <c r="A150" i="9"/>
  <c r="A149" i="9"/>
  <c r="A148" i="9"/>
  <c r="A146" i="9"/>
  <c r="A145" i="9"/>
  <c r="A144" i="9"/>
  <c r="A143" i="9"/>
  <c r="A142" i="9"/>
  <c r="A141" i="9"/>
  <c r="A88" i="9"/>
  <c r="A37" i="9"/>
  <c r="A36" i="9"/>
  <c r="A33" i="9"/>
  <c r="A28" i="9"/>
  <c r="A27" i="9"/>
  <c r="A16" i="9"/>
  <c r="A15" i="9"/>
  <c r="C58" i="1" l="1"/>
  <c r="T54" i="1"/>
  <c r="Z45" i="1"/>
  <c r="R8" i="1"/>
  <c r="P51" i="1"/>
  <c r="T45" i="1"/>
  <c r="M8" i="1"/>
  <c r="N54" i="1"/>
  <c r="B45" i="1"/>
  <c r="H8" i="1"/>
  <c r="H54" i="1"/>
  <c r="S11" i="1"/>
  <c r="C8" i="1"/>
  <c r="B54" i="1"/>
  <c r="N11" i="1"/>
  <c r="W8" i="1"/>
  <c r="B51" i="1"/>
  <c r="I11" i="1"/>
  <c r="P48" i="1"/>
  <c r="D11" i="1"/>
  <c r="B48" i="1"/>
  <c r="T1" i="10"/>
  <c r="AH116" i="10" l="1"/>
  <c r="AR98" i="10"/>
  <c r="AH98" i="10"/>
  <c r="AR80" i="10"/>
  <c r="AH80" i="10"/>
  <c r="U76" i="10"/>
  <c r="P76" i="10"/>
  <c r="C76" i="10"/>
  <c r="AR62" i="10"/>
  <c r="AH62" i="10"/>
  <c r="C62" i="10"/>
  <c r="C60" i="10"/>
  <c r="B57" i="10"/>
  <c r="AH56" i="10"/>
  <c r="T56" i="10"/>
  <c r="N56" i="10"/>
  <c r="H56" i="10"/>
  <c r="B56" i="10"/>
  <c r="P53" i="10"/>
  <c r="B53" i="10"/>
  <c r="AH51" i="10"/>
  <c r="P50" i="10"/>
  <c r="B50" i="10"/>
  <c r="Z47" i="10"/>
  <c r="T47" i="10"/>
  <c r="B47" i="10"/>
  <c r="AH46" i="10"/>
  <c r="AH41" i="10"/>
  <c r="AH36" i="10"/>
  <c r="AH31" i="10"/>
  <c r="AH26" i="10"/>
  <c r="AH21" i="10"/>
  <c r="AH16" i="10"/>
  <c r="S13" i="10"/>
  <c r="N13" i="10"/>
  <c r="I13" i="10"/>
  <c r="D13" i="10"/>
  <c r="AH11" i="10"/>
  <c r="AC4" i="10"/>
  <c r="B4" i="10"/>
  <c r="AA1" i="10"/>
  <c r="BG116" i="10"/>
  <c r="C1" i="9" l="1"/>
  <c r="AK10" i="9" l="1"/>
  <c r="AK2" i="1" l="1"/>
  <c r="AA1" i="1" l="1"/>
  <c r="U1" i="1"/>
  <c r="AG10" i="9"/>
  <c r="AF10" i="9"/>
  <c r="AE5" i="9"/>
  <c r="AC4" i="1" l="1"/>
  <c r="G5" i="9" l="1"/>
  <c r="F4" i="9"/>
  <c r="C9" i="9" a="1"/>
  <c r="C9" i="9" s="1"/>
  <c r="D9" i="9" a="1"/>
  <c r="D9" i="9" s="1"/>
  <c r="E9" i="9" a="1"/>
  <c r="E9" i="9" s="1"/>
  <c r="G9" i="9" a="1"/>
  <c r="G9" i="9" s="1"/>
  <c r="H9" i="9" a="1"/>
  <c r="H9" i="9" s="1"/>
  <c r="AB9" i="9" a="1"/>
  <c r="AB9" i="9" s="1"/>
  <c r="AC9" i="9" a="1"/>
  <c r="AC9" i="9" s="1"/>
  <c r="AD9" i="9" a="1"/>
  <c r="AD9" i="9" s="1"/>
  <c r="I10" i="9"/>
  <c r="J10" i="9"/>
  <c r="K10" i="9"/>
  <c r="L10" i="9"/>
  <c r="M10" i="9"/>
  <c r="W10" i="9"/>
  <c r="X10" i="9"/>
  <c r="Y10" i="9"/>
  <c r="Z10" i="9"/>
  <c r="AG51" i="1"/>
  <c r="AG48" i="1"/>
  <c r="AG44" i="1"/>
  <c r="AG41" i="1"/>
  <c r="AG33" i="1"/>
  <c r="AG31" i="1"/>
  <c r="AG27" i="1"/>
  <c r="AG25" i="1"/>
  <c r="AG21" i="1"/>
  <c r="AG19" i="1"/>
  <c r="AG15" i="1"/>
  <c r="AG13" i="1"/>
  <c r="AG4" i="1"/>
  <c r="H4" i="9" a="1"/>
  <c r="H4" i="9" s="1"/>
  <c r="C60" i="1"/>
  <c r="AD10" i="9"/>
  <c r="J5" i="9"/>
  <c r="U5" i="9"/>
  <c r="Q5" i="9"/>
  <c r="M5" i="9"/>
  <c r="D8" i="9"/>
  <c r="F5" i="9"/>
  <c r="T5" i="9"/>
  <c r="L5" i="9"/>
  <c r="C10" i="9"/>
  <c r="D7" i="9"/>
  <c r="S5" i="9"/>
  <c r="O5" i="9"/>
  <c r="K5" i="9"/>
  <c r="AB10" i="9"/>
  <c r="V5" i="9"/>
  <c r="N5" i="9"/>
  <c r="AO99" i="6"/>
  <c r="B102" i="5"/>
  <c r="B99" i="6"/>
  <c r="AR102" i="5"/>
  <c r="E56" i="6"/>
  <c r="C3" i="6"/>
  <c r="C4" i="6"/>
  <c r="D8" i="6"/>
  <c r="F96" i="6"/>
  <c r="E96" i="6"/>
  <c r="F94" i="6"/>
  <c r="E94" i="6"/>
  <c r="F93" i="6"/>
  <c r="E93" i="6"/>
  <c r="F92" i="6"/>
  <c r="E92" i="6"/>
  <c r="F90" i="6"/>
  <c r="E90" i="6"/>
  <c r="F89" i="6"/>
  <c r="E89" i="6"/>
  <c r="F88" i="6"/>
  <c r="E88" i="6"/>
  <c r="F87" i="6"/>
  <c r="E87" i="6"/>
  <c r="C83" i="6"/>
  <c r="F80" i="6"/>
  <c r="E80" i="6"/>
  <c r="F77" i="6"/>
  <c r="E77" i="6"/>
  <c r="F79" i="6"/>
  <c r="E79" i="6"/>
  <c r="F76" i="6"/>
  <c r="E76" i="6"/>
  <c r="F75" i="6"/>
  <c r="E75" i="6"/>
  <c r="F74" i="6"/>
  <c r="E74" i="6"/>
  <c r="F73" i="6"/>
  <c r="E73" i="6"/>
  <c r="F72" i="6"/>
  <c r="E72" i="6"/>
  <c r="F71" i="6"/>
  <c r="E71" i="6"/>
  <c r="F69" i="6"/>
  <c r="E69" i="6"/>
  <c r="F67" i="6"/>
  <c r="E67" i="6"/>
  <c r="E65" i="6"/>
  <c r="D65" i="6"/>
  <c r="F62" i="6"/>
  <c r="E62" i="6"/>
  <c r="F61" i="6"/>
  <c r="E61" i="6"/>
  <c r="F60" i="6"/>
  <c r="E60" i="6"/>
  <c r="F58" i="6"/>
  <c r="E58" i="6"/>
  <c r="F51" i="6"/>
  <c r="E51" i="6"/>
  <c r="F49" i="6"/>
  <c r="E49" i="6"/>
  <c r="F47" i="6"/>
  <c r="E47" i="6"/>
  <c r="E45" i="6"/>
  <c r="D45" i="6"/>
  <c r="C41" i="6"/>
  <c r="F36" i="6"/>
  <c r="E36" i="6"/>
  <c r="F28" i="6"/>
  <c r="E28" i="6"/>
  <c r="F24" i="6"/>
  <c r="E24" i="6"/>
  <c r="E22" i="6"/>
  <c r="D22" i="6"/>
  <c r="F19" i="6"/>
  <c r="F17" i="6"/>
  <c r="F16" i="6"/>
  <c r="E14" i="6"/>
  <c r="E19" i="6"/>
  <c r="E17" i="6"/>
  <c r="E16" i="6"/>
  <c r="D14" i="6"/>
  <c r="C10" i="6"/>
  <c r="C50" i="5"/>
  <c r="C49" i="5"/>
  <c r="C5" i="5"/>
  <c r="S13" i="1"/>
  <c r="N13" i="1"/>
  <c r="I13" i="1"/>
  <c r="D13" i="1"/>
  <c r="C54" i="5"/>
  <c r="B4" i="1"/>
  <c r="C47" i="5"/>
  <c r="C46" i="5"/>
  <c r="B57" i="1"/>
  <c r="C43" i="5"/>
  <c r="C42" i="5"/>
  <c r="U53" i="5"/>
  <c r="C101" i="5"/>
  <c r="C100" i="5"/>
  <c r="C99" i="5"/>
  <c r="C98" i="5"/>
  <c r="U97" i="5"/>
  <c r="C97" i="5"/>
  <c r="D93" i="5"/>
  <c r="D91" i="5"/>
  <c r="D89" i="5"/>
  <c r="D87" i="5"/>
  <c r="C86" i="5"/>
  <c r="D84" i="5"/>
  <c r="D81" i="5"/>
  <c r="D79" i="5"/>
  <c r="C76" i="5"/>
  <c r="D77" i="5"/>
  <c r="C73" i="5"/>
  <c r="U72" i="5"/>
  <c r="C72" i="5"/>
  <c r="C68" i="5"/>
  <c r="C66" i="5"/>
  <c r="C64" i="5"/>
  <c r="C62" i="5"/>
  <c r="U61" i="5"/>
  <c r="C61" i="5"/>
  <c r="C57" i="5"/>
  <c r="C53" i="5"/>
  <c r="D40" i="5"/>
  <c r="D37" i="5"/>
  <c r="D34" i="5"/>
  <c r="D31" i="5"/>
  <c r="C30" i="5"/>
  <c r="D28" i="5"/>
  <c r="D27" i="5"/>
  <c r="C26" i="5"/>
  <c r="AL25" i="5"/>
  <c r="C25" i="5"/>
  <c r="C22" i="5"/>
  <c r="AJ17" i="5"/>
  <c r="AB17" i="5"/>
  <c r="T17" i="5"/>
  <c r="L17" i="5"/>
  <c r="D17" i="5"/>
  <c r="C13" i="5"/>
  <c r="C12" i="5"/>
  <c r="U10" i="5"/>
  <c r="C10" i="5"/>
  <c r="C4" i="5"/>
  <c r="D3" i="5"/>
  <c r="AL41" i="5"/>
  <c r="AL39" i="5"/>
  <c r="AL37" i="5"/>
  <c r="AL35" i="5"/>
  <c r="AL33" i="5"/>
  <c r="AL31" i="5"/>
  <c r="AL29" i="5"/>
  <c r="AL27" i="5"/>
  <c r="B53" i="1"/>
  <c r="P50" i="1"/>
  <c r="B50" i="1"/>
  <c r="T56" i="1"/>
  <c r="N56" i="1"/>
  <c r="H56" i="1"/>
  <c r="B56" i="1"/>
  <c r="P53" i="1"/>
  <c r="Z47" i="1"/>
  <c r="T47" i="1"/>
  <c r="B47" i="1"/>
  <c r="G4" i="9" l="1"/>
  <c r="X1" i="10"/>
  <c r="P51" i="10"/>
  <c r="Z45" i="10"/>
  <c r="B51" i="10"/>
  <c r="T45" i="10"/>
  <c r="P48" i="10"/>
  <c r="B45" i="10"/>
  <c r="T54" i="10"/>
  <c r="B48" i="10"/>
  <c r="AE20" i="1"/>
  <c r="AE16" i="1"/>
  <c r="AE23" i="1"/>
  <c r="AE19" i="1"/>
  <c r="AE15" i="1"/>
  <c r="AE22" i="1"/>
  <c r="AE18" i="1"/>
  <c r="AE24" i="1"/>
  <c r="AE21" i="1"/>
  <c r="AE17" i="1"/>
  <c r="X1" i="1"/>
  <c r="U10" i="9"/>
  <c r="S10" i="9"/>
  <c r="R10" i="9"/>
  <c r="V10" i="9"/>
  <c r="Q10" i="9"/>
  <c r="T10" i="9"/>
  <c r="P10" i="9"/>
  <c r="AK1" i="1"/>
  <c r="N10" i="9"/>
  <c r="O10" i="9"/>
  <c r="E10" i="9"/>
  <c r="D6" i="9"/>
  <c r="AC10" i="9"/>
  <c r="P5" i="9"/>
  <c r="D10" i="9"/>
  <c r="D5" i="9"/>
  <c r="Y5" i="9"/>
  <c r="AH10" i="9"/>
  <c r="AJ10" i="9"/>
  <c r="AI10" i="9"/>
  <c r="R5" i="9"/>
  <c r="G10" i="9"/>
  <c r="W5" i="9"/>
  <c r="H10" i="9"/>
  <c r="X5" i="9"/>
  <c r="I5" i="9"/>
  <c r="Z5" i="9"/>
  <c r="H5" i="9"/>
  <c r="AF2" i="1"/>
  <c r="AF2" i="10" l="1"/>
</calcChain>
</file>

<file path=xl/sharedStrings.xml><?xml version="1.0" encoding="utf-8"?>
<sst xmlns="http://schemas.openxmlformats.org/spreadsheetml/2006/main" count="4044" uniqueCount="3277">
  <si>
    <t>Group/Church Name</t>
  </si>
  <si>
    <t>Date Started</t>
  </si>
  <si>
    <t>Generation</t>
  </si>
  <si>
    <t>Location</t>
  </si>
  <si>
    <t>Mother Group/Church</t>
  </si>
  <si>
    <t>Ministry Partner</t>
  </si>
  <si>
    <t>Leader's Name</t>
  </si>
  <si>
    <t>Workers</t>
  </si>
  <si>
    <t>Baptize</t>
  </si>
  <si>
    <t>Give</t>
  </si>
  <si>
    <t>Evangelize</t>
  </si>
  <si>
    <t>Apply Bible</t>
  </si>
  <si>
    <t>Worship</t>
  </si>
  <si>
    <t>Prayer</t>
  </si>
  <si>
    <t>What is my goal or goals for the next three months?</t>
  </si>
  <si>
    <t>Fellowship</t>
  </si>
  <si>
    <t>Lord’s Supper</t>
  </si>
  <si>
    <t>Other Details</t>
  </si>
  <si>
    <t>Nome do Grupo / Igreja</t>
  </si>
  <si>
    <t>Data de início</t>
  </si>
  <si>
    <t>Geração</t>
  </si>
  <si>
    <t>Nome do Líder</t>
  </si>
  <si>
    <t>Localização</t>
  </si>
  <si>
    <t>Grupo Mãe / Igreja</t>
  </si>
  <si>
    <t>Sócio de Ministério</t>
  </si>
  <si>
    <t>Qual é o meu objetivo ou metas para os próximos três meses?</t>
  </si>
  <si>
    <t>Oração</t>
  </si>
  <si>
    <t>Comunhão</t>
  </si>
  <si>
    <t>Adoração</t>
  </si>
  <si>
    <t>Aplique a Bíblia</t>
  </si>
  <si>
    <t>Evangelizar</t>
  </si>
  <si>
    <t>Ceia do senhor</t>
  </si>
  <si>
    <t>Dar</t>
  </si>
  <si>
    <t>Batizar</t>
  </si>
  <si>
    <t>Trabalhadores</t>
  </si>
  <si>
    <t>Outros detalhes</t>
  </si>
  <si>
    <t>Nombre del grupo / iglesia</t>
  </si>
  <si>
    <t>Nombre del líder</t>
  </si>
  <si>
    <t>Ubicación</t>
  </si>
  <si>
    <t>Grupo Madre / Iglesia</t>
  </si>
  <si>
    <t>Oración</t>
  </si>
  <si>
    <t>Compañerismo</t>
  </si>
  <si>
    <t>Aplicar la biblia</t>
  </si>
  <si>
    <t>Bautizar</t>
  </si>
  <si>
    <t>Trabajadores</t>
  </si>
  <si>
    <t>Otros detalles</t>
  </si>
  <si>
    <t>समूह / चर्च का नाम</t>
  </si>
  <si>
    <t>तारीख शुरू</t>
  </si>
  <si>
    <t>पीढ़ी</t>
  </si>
  <si>
    <t>नेता का नाम</t>
  </si>
  <si>
    <t>स्थान</t>
  </si>
  <si>
    <t>मदर ग्रुप / चर्च</t>
  </si>
  <si>
    <t>मंत्रालय का साथी</t>
  </si>
  <si>
    <t>अगले तीन महीनों के लिए मेरा लक्ष्य या लक्ष्य क्या है?</t>
  </si>
  <si>
    <t>दुआ</t>
  </si>
  <si>
    <t>साहचर्य</t>
  </si>
  <si>
    <t>पूजा</t>
  </si>
  <si>
    <t>बाइबिल लागू करें</t>
  </si>
  <si>
    <t>इंजील का प्रचार करना</t>
  </si>
  <si>
    <t>प्रभु भोज</t>
  </si>
  <si>
    <t>देना</t>
  </si>
  <si>
    <t>बपतिस्मा देना</t>
  </si>
  <si>
    <t>कर्मी</t>
  </si>
  <si>
    <t>अन्य जानकारी</t>
  </si>
  <si>
    <t>প্রজন্ম</t>
  </si>
  <si>
    <t>অবস্থান</t>
  </si>
  <si>
    <t>প্রার্থনা</t>
  </si>
  <si>
    <t>বাইবেল প্রয়োগ করুন</t>
  </si>
  <si>
    <t>ধর্মপ্রচার করা</t>
  </si>
  <si>
    <t>অন্যান্য বিস্তারিত</t>
  </si>
  <si>
    <t>குழு / சர்ச் பெயர்</t>
  </si>
  <si>
    <t>தேதி தொடங்கியது</t>
  </si>
  <si>
    <t>தலைமுறை</t>
  </si>
  <si>
    <t>தலைவர் பெயர்</t>
  </si>
  <si>
    <t>இருப்பிடம்</t>
  </si>
  <si>
    <t>தாய் குழு / திருச்சபை</t>
  </si>
  <si>
    <t>அமைச்சு பார்ட்னர்</t>
  </si>
  <si>
    <t>அடுத்த மூன்று மாதங்களுக்கு என் குறிக்கோள் அல்லது இலக்கு என்ன?</t>
  </si>
  <si>
    <t>பிரார்த்தனை</t>
  </si>
  <si>
    <t>பெல்லோஷிப்</t>
  </si>
  <si>
    <t>வழிபாடு</t>
  </si>
  <si>
    <t>பைபிளைப் பயன்படுத்துங்கள்</t>
  </si>
  <si>
    <t>பிரபலமாக்கலாம்</t>
  </si>
  <si>
    <t>லார்ட்ஸ் சப்பர்</t>
  </si>
  <si>
    <t>கொடுங்கள்</t>
  </si>
  <si>
    <t>ஞானஸ்நானம்</t>
  </si>
  <si>
    <t>தொழிலாளர்</t>
  </si>
  <si>
    <t>வேறு தகவல்கள்</t>
  </si>
  <si>
    <t>సమూహం / చర్చి పేరు</t>
  </si>
  <si>
    <t>తేదీ ప్రారంభమైంది</t>
  </si>
  <si>
    <t>జనరేషన్</t>
  </si>
  <si>
    <t>లీడర్ పేరు</t>
  </si>
  <si>
    <t>స్థానం</t>
  </si>
  <si>
    <t>మదర్ గ్రూప్ / చర్చి</t>
  </si>
  <si>
    <t>మంత్రిత్వ భాగస్వామి</t>
  </si>
  <si>
    <t>రాబోయే మూడు నెలల నా లక్ష్యాలు లేదా లక్ష్యాలు ఏమిటి?</t>
  </si>
  <si>
    <t>ప్రార్థన</t>
  </si>
  <si>
    <t>ఫెలోషిప్</t>
  </si>
  <si>
    <t>ఆరాధన</t>
  </si>
  <si>
    <t>బైబిల్లో వర్తించండి</t>
  </si>
  <si>
    <t>శోభను</t>
  </si>
  <si>
    <t>లార్డ్ యొక్క భోజనం</t>
  </si>
  <si>
    <t>ఇవ్వండి</t>
  </si>
  <si>
    <t>బాప్టిజం</t>
  </si>
  <si>
    <t>వర్కర్స్</t>
  </si>
  <si>
    <t>ఇతర వివరాలు</t>
  </si>
  <si>
    <t>Название группы / церкви</t>
  </si>
  <si>
    <t>Дата начала</t>
  </si>
  <si>
    <t>поколение</t>
  </si>
  <si>
    <t>Имя лидера</t>
  </si>
  <si>
    <t>Место нахождения</t>
  </si>
  <si>
    <t>Мать Группа / Церковь</t>
  </si>
  <si>
    <t>Министерский партнер</t>
  </si>
  <si>
    <t>Какова моя цель или цели на следующие три месяца?</t>
  </si>
  <si>
    <t>молитва</t>
  </si>
  <si>
    <t>братство</t>
  </si>
  <si>
    <t>почитание</t>
  </si>
  <si>
    <t>Применить Библию</t>
  </si>
  <si>
    <t>проповедовать евангелие</t>
  </si>
  <si>
    <t>Вечеря Господня</t>
  </si>
  <si>
    <t>Дать</t>
  </si>
  <si>
    <t>Крестить</t>
  </si>
  <si>
    <t>Рабочие</t>
  </si>
  <si>
    <t>Другие детали</t>
  </si>
  <si>
    <t>Grupi / kiriku nimi</t>
  </si>
  <si>
    <t>Alguskuupäev</t>
  </si>
  <si>
    <t>Põlvkond</t>
  </si>
  <si>
    <t>Leaderi nimi</t>
  </si>
  <si>
    <t>Asukoht</t>
  </si>
  <si>
    <t>Ema Grupp / Kirik</t>
  </si>
  <si>
    <t>Ministeeriumi partner</t>
  </si>
  <si>
    <t>Milline on minu eesmärk või eesmärgid järgmise kolme kuu jooksul?</t>
  </si>
  <si>
    <t>PALVE</t>
  </si>
  <si>
    <t>Sõpruskond</t>
  </si>
  <si>
    <t>Jumalateenistus</t>
  </si>
  <si>
    <t>Rakenda Piiblit</t>
  </si>
  <si>
    <t>Issanda õhtusöök</t>
  </si>
  <si>
    <t>Anna</t>
  </si>
  <si>
    <t>Ristige</t>
  </si>
  <si>
    <t>Töötajad</t>
  </si>
  <si>
    <t>Muud andmed</t>
  </si>
  <si>
    <t>Nom du groupe / de l'église</t>
  </si>
  <si>
    <t>Génération</t>
  </si>
  <si>
    <t>Emplacement</t>
  </si>
  <si>
    <t>Groupe Mère / Eglise</t>
  </si>
  <si>
    <t>Quel est mon objectif ou mes objectifs pour les trois prochains mois?</t>
  </si>
  <si>
    <t>Prière</t>
  </si>
  <si>
    <t>Autres détails</t>
  </si>
  <si>
    <t>Gwoup / Legliz Non</t>
  </si>
  <si>
    <t>Dat li te kòmanse</t>
  </si>
  <si>
    <t>Jenerasyon</t>
  </si>
  <si>
    <t>Non Lidè</t>
  </si>
  <si>
    <t>Kote</t>
  </si>
  <si>
    <t>Gwoup Manman an / Legliz la</t>
  </si>
  <si>
    <t>Patnè Ministè</t>
  </si>
  <si>
    <t>Ki objektif mwen oswa objektif mwen pou twa pwochen mwa yo?</t>
  </si>
  <si>
    <t>Lapriyè</t>
  </si>
  <si>
    <t>Adore</t>
  </si>
  <si>
    <t>Aplike Bib la</t>
  </si>
  <si>
    <t>Soupe Seyè a</t>
  </si>
  <si>
    <t>Bay</t>
  </si>
  <si>
    <t>Batize</t>
  </si>
  <si>
    <t>Travayè yo</t>
  </si>
  <si>
    <t>Lòt detay</t>
  </si>
  <si>
    <t>グループ/教会名</t>
  </si>
  <si>
    <t>開始日</t>
  </si>
  <si>
    <t>世代</t>
  </si>
  <si>
    <t>リーダーの名前</t>
  </si>
  <si>
    <t>ロケーション</t>
  </si>
  <si>
    <t>マザーグループ/教会</t>
  </si>
  <si>
    <t>省パートナー</t>
  </si>
  <si>
    <t>今後3ヶ月間の私の目標は何ですか？</t>
  </si>
  <si>
    <t>祈り</t>
  </si>
  <si>
    <t>フェローシップ</t>
  </si>
  <si>
    <t>礼拝</t>
  </si>
  <si>
    <t>聖書を適用</t>
  </si>
  <si>
    <t>伝道する</t>
  </si>
  <si>
    <t>主の晩餐</t>
  </si>
  <si>
    <t>与える</t>
  </si>
  <si>
    <t>洗礼を受ける</t>
  </si>
  <si>
    <t>労働者</t>
  </si>
  <si>
    <t>その他の情報</t>
  </si>
  <si>
    <t>단체 / 교회 이름</t>
  </si>
  <si>
    <t>시작일</t>
  </si>
  <si>
    <t>세대</t>
  </si>
  <si>
    <t>지도자의 이름</t>
  </si>
  <si>
    <t>위치</t>
  </si>
  <si>
    <t>마더 그룹 / 교회</t>
  </si>
  <si>
    <t>사역 파트너</t>
  </si>
  <si>
    <t>다음 3 개월 동안의 목표 또는 목표는 무엇입니까?</t>
  </si>
  <si>
    <t>예배</t>
  </si>
  <si>
    <t>성경을 적용하십시오</t>
  </si>
  <si>
    <t>전도하다</t>
  </si>
  <si>
    <t>주의 만찬</t>
  </si>
  <si>
    <t>주기</t>
  </si>
  <si>
    <t>침례를 베풀다</t>
  </si>
  <si>
    <t>노동자</t>
  </si>
  <si>
    <t>기타 세부 사항</t>
  </si>
  <si>
    <t>உதவி செய்ய நான் யார்? எனக்கு என்ன பொருட்கள் தேவை?</t>
  </si>
  <si>
    <t>నేను సహాయం చేయగలవా? నేను ఏమి పదార్థాలు అవసరం?</t>
  </si>
  <si>
    <t>मैं किससे मदद मांग सकता हूं? मुझे किन सामग्रियों की आवश्यकता है?</t>
  </si>
  <si>
    <t>¿A quién puedo pedirle ayuda? ¿Qué materiales necesito?</t>
  </si>
  <si>
    <t>Quem posso pedir para ajudar? Quais materiais eu preciso?</t>
  </si>
  <si>
    <t>Кого я могу попросить помочь? Какие материалы мне нужны?</t>
  </si>
  <si>
    <t>Kes ma saan aidata? Milliseid materjale ma pean?</t>
  </si>
  <si>
    <t>Ki moun mwen ka mande pou ede? Ki materyèl mwen bezwen?</t>
  </si>
  <si>
    <t>誰が助けを求めることができますか？ どんな材料が必要ですか？</t>
  </si>
  <si>
    <t>누구에게 도움을 청할 수 있습니까? 필요한 자료는 무엇입니까?</t>
  </si>
  <si>
    <t>When will this step be done?</t>
  </si>
  <si>
    <t>Who can I ask to help? What materials do I need?</t>
  </si>
  <si>
    <t>Coach</t>
  </si>
  <si>
    <t>কোচ</t>
  </si>
  <si>
    <t>Treener</t>
  </si>
  <si>
    <t>Group Information</t>
  </si>
  <si>
    <t>Notes</t>
  </si>
  <si>
    <t>ENG</t>
  </si>
  <si>
    <t>SPA</t>
  </si>
  <si>
    <t>HIN</t>
  </si>
  <si>
    <t>POR</t>
  </si>
  <si>
    <t>BEN</t>
  </si>
  <si>
    <t>TAM</t>
  </si>
  <si>
    <t>TEL</t>
  </si>
  <si>
    <t>RUS</t>
  </si>
  <si>
    <t>EST</t>
  </si>
  <si>
    <t>FRE</t>
  </si>
  <si>
    <t>HAT</t>
  </si>
  <si>
    <t>JPN</t>
  </si>
  <si>
    <t>KOR</t>
  </si>
  <si>
    <t>எப்போது இந்த படிமுறை செய்யப்படும்?</t>
  </si>
  <si>
    <t>பயிற்சியாளர்</t>
  </si>
  <si>
    <t>Quando esse passo será feito?</t>
  </si>
  <si>
    <t>Treinador</t>
  </si>
  <si>
    <t>यह कदम कब पूरा होगा?</t>
  </si>
  <si>
    <t>कोच</t>
  </si>
  <si>
    <t>Entrenador</t>
  </si>
  <si>
    <t>ఈ దశ ఎప్పుడు జరుగుతుంది?</t>
  </si>
  <si>
    <t>రైలు పెట్టె</t>
  </si>
  <si>
    <t>Когда этот шаг будет сделан?</t>
  </si>
  <si>
    <t>Тренер</t>
  </si>
  <si>
    <t>Millal see samm tehakse?</t>
  </si>
  <si>
    <t>Ki lè yo pral fè etap sa a?</t>
  </si>
  <si>
    <t>Antrenè</t>
  </si>
  <si>
    <t>このステップはいつ行われますか？</t>
  </si>
  <si>
    <t>コーチ</t>
  </si>
  <si>
    <t>이 단계는 언제 완료됩니까?</t>
  </si>
  <si>
    <t>코치</t>
  </si>
  <si>
    <t>그룹 정보</t>
  </si>
  <si>
    <t>노트</t>
  </si>
  <si>
    <t>グループ情報</t>
  </si>
  <si>
    <t>ノート</t>
  </si>
  <si>
    <t>Enfòmasyon sou gwoup la</t>
  </si>
  <si>
    <t>Nòt</t>
  </si>
  <si>
    <t>Grupiteave</t>
  </si>
  <si>
    <t>Märkused</t>
  </si>
  <si>
    <t>Информация о группе</t>
  </si>
  <si>
    <t>Заметки</t>
  </si>
  <si>
    <t>గుంపు సమాచారం</t>
  </si>
  <si>
    <t>గమనికలు</t>
  </si>
  <si>
    <t>குழு தகவல்</t>
  </si>
  <si>
    <t>குறிப்புக்கள்</t>
  </si>
  <si>
    <t>গ্রুপ তথ্য</t>
  </si>
  <si>
    <t>নোট</t>
  </si>
  <si>
    <t>Informação do Grupo</t>
  </si>
  <si>
    <t>Notas</t>
  </si>
  <si>
    <t>समूह जानकारी</t>
  </si>
  <si>
    <t>टिप्पणियाँ</t>
  </si>
  <si>
    <t>Información del grupo</t>
  </si>
  <si>
    <t>Source</t>
  </si>
  <si>
    <t>Generational Mapping Coaching Tool</t>
  </si>
  <si>
    <t>From</t>
  </si>
  <si>
    <t>To</t>
  </si>
  <si>
    <t>(enter dates in the 3 boxes above)</t>
  </si>
  <si>
    <t>(введите даты в 3 поля выше)</t>
  </si>
  <si>
    <t>(ingrese las fechas en las 3 casillas de arriba)</t>
  </si>
  <si>
    <t>(insira datas nas 3 caixas acima)</t>
  </si>
  <si>
    <t>(उपरोक्त 3 बॉक्स में दिनांक दर्ज करें)</t>
  </si>
  <si>
    <t>(மேலே உள்ள 3 பெட்டிகளில் உள்ள தேதிகள் உள்ளிடவும்)</t>
  </si>
  <si>
    <t>(sisestage ülaltoodud 3 lahtrisse kuupäevad)</t>
  </si>
  <si>
    <t>(entrez les dates dans les 3 cases ci-dessus)</t>
  </si>
  <si>
    <t>(antre nan dat nan 3 bwat ki anwo yo)</t>
  </si>
  <si>
    <t>（上の3つのボックスに日付を入力してください）</t>
  </si>
  <si>
    <t>(위의 3 상자에 날짜를 입력하십시오)</t>
  </si>
  <si>
    <t>모은</t>
  </si>
  <si>
    <t>集めました</t>
  </si>
  <si>
    <t>Kolekte</t>
  </si>
  <si>
    <t>Collecté</t>
  </si>
  <si>
    <t>Tasakaalukas</t>
  </si>
  <si>
    <t>собранный</t>
  </si>
  <si>
    <t>కలెక్టెడ్</t>
  </si>
  <si>
    <t>சேகரிக்கப்பட்ட</t>
  </si>
  <si>
    <t>जुटाया हुआ</t>
  </si>
  <si>
    <t>से</t>
  </si>
  <si>
    <t>থেকে</t>
  </si>
  <si>
    <t>இருந்து</t>
  </si>
  <si>
    <t>నుండి</t>
  </si>
  <si>
    <t>Soti nan</t>
  </si>
  <si>
    <t>から</t>
  </si>
  <si>
    <t>에서</t>
  </si>
  <si>
    <t>에</t>
  </si>
  <si>
    <t>に</t>
  </si>
  <si>
    <t>Et</t>
  </si>
  <si>
    <t>Quick Reference Guide</t>
  </si>
  <si>
    <t>The Generational Mapping Coaching Tool is a place to record details from a coaching session about the health and functions of a group. The details are from a time that usually represents a three month period (a quarter of the year.) This is from the start of the first month to the end of the third month.</t>
  </si>
  <si>
    <t>Group Attendance</t>
  </si>
  <si>
    <t>Total Believers in the group</t>
  </si>
  <si>
    <t>New Believers in the group this period</t>
  </si>
  <si>
    <t>Total baptized in the group</t>
  </si>
  <si>
    <t>Newly baptized in the group this period</t>
  </si>
  <si>
    <t>Trace the larger circle.</t>
  </si>
  <si>
    <t>You can use a numeric system to compare the different functions.</t>
  </si>
  <si>
    <t>Details about an ongoing challenge that a group is facing can be placed in the box “Other Details.”</t>
  </si>
  <si>
    <t>For emerging groups, leaders or areas that are being explored:</t>
  </si>
  <si>
    <t>Additional coaching notes may be helpful in some settings.</t>
  </si>
  <si>
    <t>Each person making notes supplies his/her own paper or note book.</t>
  </si>
  <si>
    <t>Circle the symbol with a dashed line for functions you are working on developing or are able to do, but did not actually do in this particular time period.</t>
  </si>
  <si>
    <t>Details</t>
  </si>
  <si>
    <t>Goals</t>
  </si>
  <si>
    <t>Based on what is known, add the name, leader, location, start date or core metrics in the top left box.</t>
  </si>
  <si>
    <t>Also as a reference, circle the funtions for that group in the lower left box.</t>
  </si>
  <si>
    <t>In the larger box, list what was done in the last time period to help the emerging group or leader.</t>
  </si>
  <si>
    <t>Mark priorities for the next time period and discuss a plan to accomplish them.</t>
  </si>
  <si>
    <t>Healthy Group Diagram</t>
  </si>
  <si>
    <t>Next Generation</t>
  </si>
  <si>
    <t>In the larger box, list ways the leader being coached in this coaching session can help encourage, challenge, and release the daughter’s leader and group. Do not make decisions or priorities for the daughter group.</t>
  </si>
  <si>
    <t>Coaching Notes</t>
  </si>
  <si>
    <t>information</t>
  </si>
  <si>
    <t>·</t>
  </si>
  <si>
    <t>Use una línea sólida si el grupo se ha comprometido como una iglesia.</t>
  </si>
  <si>
    <t>Deje la línea discontinua si el grupo no se ha comprometido como una iglesia.</t>
  </si>
  <si>
    <t>Detalles</t>
  </si>
  <si>
    <t>Metas</t>
  </si>
  <si>
    <t>Cuando hay iglesias hijas establecidas:</t>
  </si>
  <si>
    <t>Marque las prioridades para el próximo período de tiempo y discuta un plan para lograrlas.</t>
  </si>
  <si>
    <t>Notas de Entrenamiento</t>
  </si>
  <si>
    <t>información</t>
  </si>
  <si>
    <t>Tanto la persona que está siendo entrenada como el entrenador pueden guardar sus propias notas.</t>
  </si>
  <si>
    <t>त्वरित संदर्भ मार्गदर्शिका</t>
  </si>
  <si>
    <t>जनरेशनल मैपिंग कोचिंग टूल एक समूह के स्वास्थ्य और कार्यों के बारे में कोचिंग सत्र से विवरण रिकॉर्ड करने के लिए एक जगह है। विवरण उस समय से हैं जो आमतौर पर तीन महीने की अवधि (वर्ष का एक चौथाई) का प्रतिनिधित्व करता है। यह पहले महीने की शुरुआत से तीसरे महीने के अंत तक होता है।</t>
  </si>
  <si>
    <t>स्वस्थ समूह आरेख</t>
  </si>
  <si>
    <t>समूह की उपस्थिति</t>
  </si>
  <si>
    <t>समूह में कुल विश्वासियों</t>
  </si>
  <si>
    <t>इस अवधि में समूह में नए विश्वासियों</t>
  </si>
  <si>
    <t>समूह में कुल बपतिस्मा</t>
  </si>
  <si>
    <t>इस अवधि में समूह में नए रूप से बपतिस्मा दिया गया</t>
  </si>
  <si>
    <t>बड़े सर्कल का पता लगाएं।</t>
  </si>
  <si>
    <t>यदि समूह ने चर्च के रूप में एक साथ प्रतिबद्ध किया है, तो एक ठोस रेखा का उपयोग करें।</t>
  </si>
  <si>
    <t>यदि समूह ने चर्च के रूप में प्रतिबद्ध नहीं किया है, तो धराशायी रेखा को छोड़ दें।</t>
  </si>
  <si>
    <t>प्रत्येक फ़ंक्शन के लिए एक प्रतीक के चारों ओर एक छोटा चक्र बनाएं।</t>
  </si>
  <si>
    <t>एक ठोस रेखा के साथ प्रतीक को सर्कल करें जो कि बड़े सर्कल के अंदर हो अगर समूह के सदस्य बिना किसी बाहरी मदद के नियमित रूप से भाग लेते हैं।</t>
  </si>
  <si>
    <t>उन कार्यों के लिए एक धराशायी रेखा के साथ प्रतीक को सर्कल करें जिन्हें आप विकसित कर रहे हैं या करने में सक्षम हैं, लेकिन वास्तव में इस विशेष समय अवधि में नहीं किया।</t>
  </si>
  <si>
    <t>यदि समूह अपने दम पर भाग नहीं ले रहा है, तो बड़े सर्कल के बाहर प्रतीक को सर्कल करें, लेकिन इस फ़ंक्शन में भाग लेने का एक और तरीका है।</t>
  </si>
  <si>
    <t>यदि समूह के सदस्यों के पास इस समारोह में भाग लेने का कोई नियमित तरीका नहीं है, तो प्रतीक को सर्कल न करें।</t>
  </si>
  <si>
    <t>विवरण</t>
  </si>
  <si>
    <t>आप विभिन्न कार्यों की तुलना करने के लिए एक संख्यात्मक प्रणाली का उपयोग कर सकते हैं।</t>
  </si>
  <si>
    <t>एक चल रही चुनौती के बारे में विवरण जो एक समूह का सामना कर रहा है उसे बॉक्स में रखा जा सकता है "अन्य विवरण।"</t>
  </si>
  <si>
    <t>लक्ष्य</t>
  </si>
  <si>
    <t>शीर्ष बॉक्स में एक अच्छी तरह से वर्णित लक्ष्य या लक्ष्य लिखें।</t>
  </si>
  <si>
    <t>बाएं कॉलम में क्रिया चरणों की सूची बनाएं।</t>
  </si>
  <si>
    <t>अगली पीढ़ी</t>
  </si>
  <si>
    <t>जब स्थापित बेटी चर्च हैं:</t>
  </si>
  <si>
    <t>जो ज्ञात है, उसके आधार पर, शीर्ष बाएं बॉक्स में नाम, नेता, स्थान, प्रारंभ दिनांक या कोर मैट्रिक्स जोड़ें।</t>
  </si>
  <si>
    <t>एक संदर्भ के रूप में, निचले बाएं बॉक्स में उस समूह के लिए funtions सर्कल करें।</t>
  </si>
  <si>
    <t>उभरते समूहों, नेताओं या क्षेत्रों के बारे में पता लगाया जा रहा है:</t>
  </si>
  <si>
    <t>शीर्ष बाएं बॉक्स में संभावित नए समूह, समुदाय या नेता का नाम रखें।</t>
  </si>
  <si>
    <t>बड़े बॉक्स में, सूची दें कि उभरते समूह या नेता की मदद करने के लिए अंतिम समय अवधि में क्या किया गया था।</t>
  </si>
  <si>
    <t>अगली समय अवधि के लिए प्राथमिकताओं को चिह्नित करें और उन्हें पूरा करने की योजना पर चर्चा करें।</t>
  </si>
  <si>
    <t>कोचिंग नोट्स</t>
  </si>
  <si>
    <t>जानकारी</t>
  </si>
  <si>
    <t>अतिरिक्त कोचिंग नोट्स कुछ सेटिंग्स में मददगार हो सकते हैं।</t>
  </si>
  <si>
    <t>कोच और कोच दोनों ही व्यक्ति अपने-अपने नोट रख सकते हैं।</t>
  </si>
  <si>
    <t>नोट्स बनाने वाला प्रत्येक व्यक्ति अपने स्वयं के कागज या नोट बुक की आपूर्ति करता है।</t>
  </si>
  <si>
    <t>यदि कोचिंग नोट्स बनाए जाते हैं, तो वे गोपनीय होते हैं और दूसरों द्वारा देखे जाने से बचाने की आवश्यकता होती है।</t>
  </si>
  <si>
    <t>Guia rápido de referências</t>
  </si>
  <si>
    <t>A Ferramenta de Treinamento de Mapeamento Geracional é um local para registrar detalhes de uma sessão de treinamento sobre a saúde e as funções de um grupo. Os detalhes são de uma época que geralmente representa um período de três meses (um quarto do ano). Isso ocorre do início do primeiro mês até o final do terceiro mês.</t>
  </si>
  <si>
    <t>Diagrama de Grupo Saudável</t>
  </si>
  <si>
    <t>Atendimento em grupo</t>
  </si>
  <si>
    <t>Total de crentes no grupo</t>
  </si>
  <si>
    <t>Novos crentes no grupo neste período</t>
  </si>
  <si>
    <t>Total batizado no grupo</t>
  </si>
  <si>
    <t>Recém batizado no grupo neste período</t>
  </si>
  <si>
    <t>Trace o círculo maior.</t>
  </si>
  <si>
    <t>Use uma linha sólida se o grupo tiver cometido juntos como uma igreja.</t>
  </si>
  <si>
    <t>Deixe a linha tracejada se o grupo não tiver cometido como igreja.</t>
  </si>
  <si>
    <t>Desenhe um círculo menor em torno de um símbolo para cada função.</t>
  </si>
  <si>
    <t>Circule o símbolo com uma linha sólida que esteja dentro do círculo maior se os membros do grupo participarem regularmente de uma função sem ajuda externa.</t>
  </si>
  <si>
    <t>Circule o símbolo com uma linha tracejada para funções nas quais você está trabalhando para desenvolver ou é capaz de fazer, mas na verdade não o fez neste período específico.</t>
  </si>
  <si>
    <t>Circule o símbolo fora do círculo maior se o grupo não estiver participando por conta própria, mas tiver outra maneira de participar dessa função.</t>
  </si>
  <si>
    <t>Não circule o símbolo se os membros do grupo não tiverem um modo regular de participar desta função.</t>
  </si>
  <si>
    <t>Preencha as caixas na parte inferior desta seção conforme rotulado. Precisão cuidadosa mantém as informações juntas para referência futura. Também mostra a conexão deste grupo a outros grupos. Esta informação pode ser preenchida antes da sessão de coaching.</t>
  </si>
  <si>
    <t>Detalhes</t>
  </si>
  <si>
    <t>Você pode usar um sistema numérico para comparar as diferentes funções.</t>
  </si>
  <si>
    <t>Detalhes sobre um desafio contínuo que um grupo está enfrentando podem ser colocados na caixa "Outros detalhes".</t>
  </si>
  <si>
    <t>Objetivos</t>
  </si>
  <si>
    <t>Escreva uma meta ou objetivos bem definidos na caixa superior.</t>
  </si>
  <si>
    <t>Listar etapas de ação na coluna da esquerda.</t>
  </si>
  <si>
    <t>Próxima geração</t>
  </si>
  <si>
    <t>Quando existem igrejas filhas estabelecidas:</t>
  </si>
  <si>
    <t>Com base no que é conhecido, adicione o nome, o líder, a localização, a data de início ou as principais métricas na caixa superior esquerda.</t>
  </si>
  <si>
    <t>Também como referência, circule as funções desse grupo na caixa inferior esquerda.</t>
  </si>
  <si>
    <t>Para grupos emergentes, líderes ou áreas que estão sendo exploradas:</t>
  </si>
  <si>
    <t>Coloque o nome do novo grupo, comunidade ou líder em potencial na caixa superior esquerda.</t>
  </si>
  <si>
    <t>Na caixa maior, liste o que foi feito no último período de tempo para ajudar o grupo ou líder emergente.</t>
  </si>
  <si>
    <t>Adicione idéias de como fazer novos progressos e discernir a direção do Espírito Santo no próximo período de tempo.</t>
  </si>
  <si>
    <t>Marque as prioridades para o próximo período de tempo e discuta um plano para realizá-las.</t>
  </si>
  <si>
    <t>Notas de Coaching</t>
  </si>
  <si>
    <t>em formação</t>
  </si>
  <si>
    <t>Notas adicionais de treinamento podem ser úteis em algumas configurações.</t>
  </si>
  <si>
    <t>Tanto a pessoa que está sendo treinada quanto o técnico podem manter suas próprias anotações.</t>
  </si>
  <si>
    <t>Cada pessoa que faz anotações fornece seu próprio papel ou caderno.</t>
  </si>
  <si>
    <t>Se as notas de treinamento são feitas, elas são confidenciais e precisam ser protegidas de serem vistas pelos outros.</t>
  </si>
  <si>
    <t>(section 1)</t>
  </si>
  <si>
    <t>(section 2)</t>
  </si>
  <si>
    <t>(section 3)</t>
  </si>
  <si>
    <t>(section 4)</t>
  </si>
  <si>
    <t>(seção 1)</t>
  </si>
  <si>
    <t>(seção 2)</t>
  </si>
  <si>
    <t>(seção 3)</t>
  </si>
  <si>
    <t>(seção 4)</t>
  </si>
  <si>
    <t>(sección 1)</t>
  </si>
  <si>
    <t>(अनुभाग एक)</t>
  </si>
  <si>
    <t>(धारा 2)</t>
  </si>
  <si>
    <t>(अनुभाग 4)</t>
  </si>
  <si>
    <t>(धारा 3)</t>
  </si>
  <si>
    <t>(प्रत्येक बेटी समूह में एक अलग कोचिंग वार्तालाप और विस्तृत कोचिंग उपकरण होना चाहिए।)</t>
  </si>
  <si>
    <t>(Cada grupo de filhas deve ter uma conversa de coaching separada e uma ferramenta de coaching detalhada.)</t>
  </si>
  <si>
    <t>In the middle column, add a completion date for each action step.</t>
  </si>
  <si>
    <t>Use a solid line if the group has committed together as a church.</t>
  </si>
  <si>
    <t>Leave the dashed line if the group has not committed as a church.</t>
  </si>
  <si>
    <t>Draw a smaller circle around a symbol for each function.</t>
  </si>
  <si>
    <t>Circle the symbol with a solid line that is inside the larger circle if members of the group participate regularly in a function without outside help.</t>
  </si>
  <si>
    <t>Circle the symbol outside the larger circle if the group is not participating on their own, but do have another way to participate in this function.</t>
  </si>
  <si>
    <t>Do not circle the symbol if members of the group have no regular way to participate in this function.</t>
  </si>
  <si>
    <t>Fill in the boxes at the bottom of this section as labeled. Careful accuracy keeps the information together for later reference. It also shows this group’s connection to other groups. This information can be filled out before the coaching session.</t>
  </si>
  <si>
    <t>Write a well stated goal or goals in the top box.</t>
  </si>
  <si>
    <t>List action steps in the left column.</t>
  </si>
  <si>
    <t>In the right column, list people you can ask to help, materials that you will need, and other things that can help to complete the action step.</t>
  </si>
  <si>
    <t>When there are established daughter churches:</t>
  </si>
  <si>
    <t>(Each daughter group should have a separate coaching conversation and detailed coaching tool.)</t>
  </si>
  <si>
    <t>Put the name of the potential new group, community or leader in the top left box.</t>
  </si>
  <si>
    <t>Add ideas of how to make new progress and discern the Holy Spirit’s leading in the next time period.</t>
  </si>
  <si>
    <t>Both the person being coached and the coach can keep their own notes.</t>
  </si>
  <si>
    <t>If coaching notes are made, they are confidential and need to be protected from being seen by others.</t>
  </si>
  <si>
    <t>Dates</t>
  </si>
  <si>
    <t>खजूर</t>
  </si>
  <si>
    <t>datas</t>
  </si>
  <si>
    <t>fechas</t>
  </si>
  <si>
    <t xml:space="preserve">Enter dates in the boxes labeled "from" and "to" (time period for the data on the form) and "collected" (date of the coaching session.) </t>
  </si>
  <si>
    <t>তারিখ</t>
  </si>
  <si>
    <t>தேதிகள்</t>
  </si>
  <si>
    <t>తేదీలు</t>
  </si>
  <si>
    <t>Даты</t>
  </si>
  <si>
    <t>Kuupäevad</t>
  </si>
  <si>
    <t>Entrez les dates dans les cases "de" et "à" (période pour les données du formulaire) et "collecté" (date de la session de coaching.)</t>
  </si>
  <si>
    <t>Dat</t>
  </si>
  <si>
    <t>日付</t>
  </si>
  <si>
    <t>날짜</t>
  </si>
  <si>
    <t>빠른 참조 가이드</t>
  </si>
  <si>
    <t>Generative Mapping Coaching Tool은 그룹의 건강과 기능에 대한 코칭 세션의 세부 정보를 기록하는 곳입니다. 세부 사항은 일반적으로 3 개월 기간 (1 년의 4 분의 1)을 대표하는 시간에서 나온 것입니다. 이것은 첫 번째 달의 시작부터 세 번째 달의 끝까지입니다.</t>
  </si>
  <si>
    <t>건강한 그룹 다이어그램</t>
  </si>
  <si>
    <t>(섹션 1)</t>
  </si>
  <si>
    <t>그룹 출석</t>
  </si>
  <si>
    <t>그룹의 총 신자</t>
  </si>
  <si>
    <t>이 기간 동안 새로운 신자들</t>
  </si>
  <si>
    <t>그룹에서 세례받은 합계</t>
  </si>
  <si>
    <t>이번에 그룹에서 새로 침례를 받음</t>
  </si>
  <si>
    <t>더 큰 원을 그립니다.</t>
  </si>
  <si>
    <t>그룹이 교회로 함께 헌신했다면 실선을 사용하십시오.</t>
  </si>
  <si>
    <t>그룹이 교회로서 헌신하지 않았다면 점선으로 남겨 두십시오.</t>
  </si>
  <si>
    <t>각 기능에 대한 기호 주위에 작은 원을 그립니다.</t>
  </si>
  <si>
    <t>그룹의 구성원이 외부 도움 없이도 기능에 정기적으로 참여하는 경우 큰 원 안에있는 실선으로 기호에 동그라미하십시오.</t>
  </si>
  <si>
    <t>개발 중이거나 할 수있는 기능에 대해서는 파선으로 기호를 표시하고이 특정 시간에는 실제로하지 않았습니다.</t>
  </si>
  <si>
    <t>그룹이 독자적으로 참여하지 않는 경우 더 큰 원 밖에 서클에 심볼을 표시하지만이 기능에 참여하는 또 다른 방법이 있습니다.</t>
  </si>
  <si>
    <t>그룹의 구성원이이 기능에 정기적으로 참여할 수있는 방법이 없다면 기호에 동그라미를 치지 마십시오.</t>
  </si>
  <si>
    <t>이 섹션의 하단에있는 상자에 라벨을 기입하십시오. 신중한 정확성은 나중에 참조 할 수 있도록 정보를 함께 유지합니다. 또한이 그룹이 다른 그룹과 연결되어 있음을 보여줍니다. 이 정보는 코칭 세션 전에 작성 될 수 있습니다.</t>
  </si>
  <si>
    <t>세부</t>
  </si>
  <si>
    <t>(섹션 2)</t>
  </si>
  <si>
    <t>숫자 시스템을 사용하여 다른 기능을 비교할 수 있습니다.</t>
  </si>
  <si>
    <t>그룹이 직면하고있는 진행중인 과제에 대한 세부 정보는 "기타 세부 정보"상자에 입력 할 수 있습니다.</t>
  </si>
  <si>
    <t>목표</t>
  </si>
  <si>
    <t>(3 절)</t>
  </si>
  <si>
    <t>최상 상자에 잘 설명 된 목표를 적어 라.</t>
  </si>
  <si>
    <t>왼쪽 열에 작업 단계를 나열하십시오.</t>
  </si>
  <si>
    <t>중간 열에 각 작업 단계의 완료 날짜를 추가하십시오.</t>
  </si>
  <si>
    <t>오른쪽 열에는 도움을 청할 수있는 사람, 필요한 자료 및 행동 단계를 완료하는 데 도움이 될 수있는 다른 사람들을 나열하십시오.</t>
  </si>
  <si>
    <t>다음 세대</t>
  </si>
  <si>
    <t>(4 절)</t>
  </si>
  <si>
    <t>확립 된 딸 교회가있을 때 :</t>
  </si>
  <si>
    <t>알려진 내용에 따라 이름, 리더, 위치, 시작 날짜 또는 핵심 측정 항목을 왼쪽 상단 상자에 추가하십시오.</t>
  </si>
  <si>
    <t>또한 참고로, 왼쪽 아래 상자에 해당 그룹의 기능에 동그라미를 치십시오.</t>
  </si>
  <si>
    <t>큰 상자에는이 코칭 세션에서지도받는 지도자가 딸의 지도자와 그룹을 격려하고 도전하고 석방하는 데 도움을 줄 수있는 방법을 열거하십시오. 딸 그룹에 대한 결정이나 우선 순위를 결정하지 마십시오.</t>
  </si>
  <si>
    <t>(각 딸 그룹은 별도의 코칭 대화와 상세한 코칭 도구가 있어야합니다.)</t>
  </si>
  <si>
    <t>신흥 그룹의 경우 탐구되는 지도자 또는 지역 :</t>
  </si>
  <si>
    <t>상단 왼쪽 상자에 잠재적 인 새로운 그룹, 커뮤니티 또는 리더의 이름을 입력하십시오.</t>
  </si>
  <si>
    <t>큰 상자에는 신흥 그룹이나 지도자를 돕기 위해 지난 번에했던 일을 열거하십시오.</t>
  </si>
  <si>
    <t>다음 단계에서 새로운 진보와 성령의 인도를 식별하는 방법에 대한 아이디어를 추가하십시오.</t>
  </si>
  <si>
    <t>다음 기간의 우선 순위를 표시하고이를 달성하기위한 계획에 대해 의논하십시오.</t>
  </si>
  <si>
    <t>코칭 노트</t>
  </si>
  <si>
    <t>정보</t>
  </si>
  <si>
    <t>일부 설정에서는 추가 코칭 메모가 도움이 될 수 있습니다.</t>
  </si>
  <si>
    <t>코치 된 사람과 코치는 모두 자신의 노트를 보관할 수 있습니다.</t>
  </si>
  <si>
    <t>각 노트 작성자는 자신의 종이 또는 노트를 제공합니다.</t>
  </si>
  <si>
    <t>코칭 메모가 작성되면 기밀 사항이므로 다른 사람들이 볼 수 없도록 보호해야합니다.</t>
  </si>
  <si>
    <t>クイックリファレンスガイド</t>
  </si>
  <si>
    <t>健康的なグループ図</t>
  </si>
  <si>
    <t>（第1節）</t>
  </si>
  <si>
    <t>グループ参加</t>
  </si>
  <si>
    <t>グループ内の総信者</t>
  </si>
  <si>
    <t>この期間のグループの新しい信者</t>
  </si>
  <si>
    <t>グループでバプテスマを受けた合計</t>
  </si>
  <si>
    <t>この期間、新しくグループのバプテスマを受けました</t>
  </si>
  <si>
    <t>大きな円を描きます。</t>
  </si>
  <si>
    <t>グループが教会として一緒に献身している場合は実線を使用してください。</t>
  </si>
  <si>
    <t>グループが教会として献身していない場合は、破線を残してください。</t>
  </si>
  <si>
    <t>各機能のシンボルの周りに小さな円を描きます。</t>
  </si>
  <si>
    <t>グループのメンバーが外部の助けを借りずに定期的に機能に参加する場合は、大きい方の円の内側にある実線で記号を囲みます。</t>
  </si>
  <si>
    <t>開発中または実行可能であるが実際にはこの特定の期間に実行されていない機能については、シンボルを点線で囲みます。</t>
  </si>
  <si>
    <t>グループが自分で参加していないが、この機能に参加する別の方法がある場合は、大きい方の円の外側にシンボルを丸で囲みます。</t>
  </si>
  <si>
    <t>グループのメンバーがこの機能に参加する通常の方法がない場合は、シンボルに丸を付けないでください。</t>
  </si>
  <si>
    <t>詳細</t>
  </si>
  <si>
    <t>（第2節）</t>
  </si>
  <si>
    <t>数値システムを使用してさまざまな機能を比較できます。</t>
  </si>
  <si>
    <t>グループが直面している進行中の課題に関する詳細は、「その他の詳細」ボックスに入れることができます。</t>
  </si>
  <si>
    <t>目標</t>
  </si>
  <si>
    <t>（第3節）</t>
  </si>
  <si>
    <t>トップボックスによく述べられた目標を書いてください。</t>
  </si>
  <si>
    <t>左側の列にアクションステップをリストします。</t>
  </si>
  <si>
    <t>中央の列に、各アクションステップの完了日を追加します。</t>
  </si>
  <si>
    <t>右側の列に、あなたが助けを求めることができる人、あなたが必要とする材料、および行動ステップを完了するのを助けることができる他のものをリストしてください。</t>
  </si>
  <si>
    <t>次世代</t>
  </si>
  <si>
    <t>（第4節）</t>
  </si>
  <si>
    <t>確立された娘の教会があるとき：</t>
  </si>
  <si>
    <t>わかっていることに基づいて、左上のボックスに名前、リーダー、場所、開始日、またはコア指標を追加します。</t>
  </si>
  <si>
    <t>また、参考として、左下のボックスにそのグループの機能を丸で囲みます。</t>
  </si>
  <si>
    <t>（各娘グループは別々のコーチング会話と詳細なコーチングツールを持つべきです。）</t>
  </si>
  <si>
    <t>探求されている新興のグループ、リーダー、または地域のために：</t>
  </si>
  <si>
    <t>左上のボックスに、潜在的な新しいグループ、コミュニティ、またはリーダーの名前を入力します。</t>
  </si>
  <si>
    <t>大きい方のボックスに、最近のグループまたはリーダーを助けるために最後の期間に行われたことをリストします。</t>
  </si>
  <si>
    <t>次の期間の優先事項をマークし、それらを達成するための計画について話し合う。</t>
  </si>
  <si>
    <t>コーチングノート</t>
  </si>
  <si>
    <t>情報</t>
  </si>
  <si>
    <t>追加のコーチングノートはいくつかの設定で役に立つかもしれません。</t>
  </si>
  <si>
    <t>コーチされている人もコーチも自分のメモを残すことができます。</t>
  </si>
  <si>
    <t>メモを書く人はそれぞれ自分の紙またはメモ帳を用意しています。</t>
  </si>
  <si>
    <t>コーチングノートが作成された場合、それらは機密であり、他人に見られないように保護する必要があります。</t>
  </si>
  <si>
    <t>Gid referans rapid</t>
  </si>
  <si>
    <t>Zouti ki bay Coaching Kat jenerasyonèl la se yon kote pou anrejistre detay nan yon sesyon antrenè sou sante ak fonksyon yon gwoup. Detay yo soti nan yon tan ki anjeneral reprezante yon peryòd twa mwa (yon ka nan ane a.) Sa a se depi nan kòmansman premye mwa a nan fen twazyèm mwa a.</t>
  </si>
  <si>
    <t>Dyagram gwoup sante</t>
  </si>
  <si>
    <t>(seksyon 1)</t>
  </si>
  <si>
    <t>Prezans an gwoup</t>
  </si>
  <si>
    <t>Kwayan Total nan gwoup la</t>
  </si>
  <si>
    <t>Kwayan New nan gwoup la peryòd sa a</t>
  </si>
  <si>
    <t>Total batize nan gwoup la</t>
  </si>
  <si>
    <t>Fèk batize nan gwoup la peryòd sa a</t>
  </si>
  <si>
    <t>Trase pi gwo sèk la.</t>
  </si>
  <si>
    <t>Sèvi ak yon liy solid si gen gwoup la komèt ansanm kòm yon legliz.</t>
  </si>
  <si>
    <t>Kite liy an tirè si gwoup la pa te komèt kòm yon legliz.</t>
  </si>
  <si>
    <t>Trase yon ti sèk alantou yon senbòl pou chak fonksyon.</t>
  </si>
  <si>
    <t>Fè yon ti wonn sou senbòl la avèk yon liy solid ki anndan sèk ki pi gwo a si manm gwoup la patisipe regilyèman nan yon fonksyon san èd deyò.</t>
  </si>
  <si>
    <t>Fè yon ti wonn sou senbòl la ak yon liy an tirè pou fonksyon w ap travay sou devlope oswa yo kapab fè, men pa t 'aktyèlman fè nan peryòd tan sa a an patikilye.</t>
  </si>
  <si>
    <t>Fè yon ti wonn sou senbòl ki andeyò sèk ki pi gwo a si gwoup la pa patisipe poukont yo, men gen yon lòt fason pou patisipe nan fonksyon sa a.</t>
  </si>
  <si>
    <t>Pa sèkle senbòl la si manm nan gwoup la pa gen okenn fason regilye pou patisipe nan fonksyon sa a.</t>
  </si>
  <si>
    <t>Ranpli bwat ki nan pati anba seksyon sa a kòm make. Egzakteman atansyon kenbe enfòmasyon yo ansanm pou referans pita. Li montre koneksyon gwoup sa a ak lòt gwoup tou. Enfòmasyon sa a ka ranpli anvan sesyon antrenè a.</t>
  </si>
  <si>
    <t>Detay</t>
  </si>
  <si>
    <t>(seksyon 2)</t>
  </si>
  <si>
    <t>Ou ka itilize yon sistèm nimerik pou konpare diferan fonksyon yo.</t>
  </si>
  <si>
    <t>Detay sou yon defi kontinyèl ke yon gwoup ap fè fas ka mete nan ti kare a "Lòt Detay."</t>
  </si>
  <si>
    <t>Objektif</t>
  </si>
  <si>
    <t>(seksyon 3)</t>
  </si>
  <si>
    <t>Ekri yon objektif byen deklare oswa objektif nan bwat tèt la.</t>
  </si>
  <si>
    <t>Ekri etap aksyon nan kolòn gòch la.</t>
  </si>
  <si>
    <t>Nan kolòn nan mitan, ajoute yon dat fini pou chak etap aksyon.</t>
  </si>
  <si>
    <t>Nan kolòn dwat la, bay lis moun ou ka mande pou ede, materyèl ke w ap bezwen, ak lòt bagay ki ka ede ranpli etap aksyon an.</t>
  </si>
  <si>
    <t>Pwochen Jenerasyon</t>
  </si>
  <si>
    <t>(seksyon 4)</t>
  </si>
  <si>
    <t>Lè gen etabli legliz pitit fi:</t>
  </si>
  <si>
    <t>Baze sou sa ki li te ye, ajoute non an, lidè, kote, dat kòmansman oswa mesures debaz yo nan bwat anwo gòch.</t>
  </si>
  <si>
    <t>Epitou kòm yon referans, sèkle funtions yo pou gwoup sa a nan bwat anba a kite.</t>
  </si>
  <si>
    <t>Nan bwat la pi gwo, lis fason lidè a ke yo te ankadre nan sesyon sa a antrenè ka ede ankouraje, defi, ak divilge lidè pitit fi a ak gwoup. Pa pran desizyon oswa priyorite pou gwoup pitit fi a.</t>
  </si>
  <si>
    <t>(Chak gwoup pitit fi ta dwe gen yon konvèsasyon antrenè separe ak zouti antrenè detaye.)</t>
  </si>
  <si>
    <t>Pou gwoup kap dirije yo, lidè oswa zòn ke yo te eksplore:</t>
  </si>
  <si>
    <t>Mete non nouvo potansyèl gwoup la, kominote a oswa lidè nan bwat anwo goch la.</t>
  </si>
  <si>
    <t>Nan bwat la pi gwo, lis sa ki te fè nan peryòd la tan dènye ede gwoup la émergentes oswa lidè.</t>
  </si>
  <si>
    <t>Make priyorite pou pwochen peryòd tan an epi diskite sou yon plan pou akonpli yo.</t>
  </si>
  <si>
    <t>Antrenè Nòt</t>
  </si>
  <si>
    <t>enfòmasyon</t>
  </si>
  <si>
    <t>Lòt nòt antrenè ka itil nan kèk anviwònman.</t>
  </si>
  <si>
    <t>Tou de moun nan ke yo te ankadre ak antrenè a ka kenbe pwòp nòt yo.</t>
  </si>
  <si>
    <t>Chak moun fè nòt bay papye pwòp li yo oswa liv nòt.</t>
  </si>
  <si>
    <t>Si yo fè nòt antrenè yo, yo konfidansyèl epi yo bezwen pwoteje pou yo pa wè lòt moun.</t>
  </si>
  <si>
    <t>Total des croyants dans le groupe</t>
  </si>
  <si>
    <t>Total baptisé dans le groupe</t>
  </si>
  <si>
    <t>(Section 4)</t>
  </si>
  <si>
    <t>Quand il y a des églises filles établies:</t>
  </si>
  <si>
    <t>Chaque personne qui prend des notes fournit son propre papier ou cahier de notes.</t>
  </si>
  <si>
    <t>Kiirjuhend</t>
  </si>
  <si>
    <t>Generational Mapping Coaching Tool on koht, kus saab salvestada üksikasju juhendamise sessioonist rühma tervise ja funktsioonide kohta. Andmed pärinevad ajast, mis tavaliselt moodustab kolmekuulise perioodi (veerand aastas). See on esimese kuu algusest kuni kolmanda kuu lõpuni.</t>
  </si>
  <si>
    <t>Tervisliku grupi skeem</t>
  </si>
  <si>
    <t>(1. osa)</t>
  </si>
  <si>
    <t>Grupi osalemine</t>
  </si>
  <si>
    <t>Usklike koguarv grupis</t>
  </si>
  <si>
    <t>Uued usklikud sellel perioodil</t>
  </si>
  <si>
    <t>Kokku rühmitati ristitud</t>
  </si>
  <si>
    <t>Umbes ristitud sellel perioodil</t>
  </si>
  <si>
    <t>Jälgi suuremat ringi.</t>
  </si>
  <si>
    <t>Kasutage kindlat joont, kui rühm on kogudusena pühendunud.</t>
  </si>
  <si>
    <t>Jäta katkendjoon, kui rühm ei ole pühendunud kirikuna.</t>
  </si>
  <si>
    <t>Joonistage iga funktsiooni sümboli ümber väiksem ring.</t>
  </si>
  <si>
    <t>Kui grupi liikmed osalevad korrapäraselt funktsioonis ilma välise abita, ringi sümbolit laiema ringi sees oleval tahkel joonel.</t>
  </si>
  <si>
    <t>Pöörake sümbol katkendjoonega ülesannete jaoks, mida töötate arendamise või võimete tegemiseks, kuid ei teinud seda ajavahemikku tegelikult.</t>
  </si>
  <si>
    <t>Pöörake sümbol väljaspool suuremat ringi, kui rühm ei osale omaette, kuid neil on teine ​​võimalus selles funktsioonis osaleda.</t>
  </si>
  <si>
    <t>Ära ringi sümbolit, kui rühma liikmetel ei ole regulaarset võimalust selles funktsioonis osaleda.</t>
  </si>
  <si>
    <t>Täitke selle osa all olevad kastid märgistatud kujul. Hoolikas täpsus säilitab informatsiooni koos hiljem hilisemaks kasutamiseks. See näitab ka selle grupi ühendust teiste gruppidega. Seda teavet saab täita enne juhendamist.</t>
  </si>
  <si>
    <t>Andmed</t>
  </si>
  <si>
    <t>(2. osa)</t>
  </si>
  <si>
    <t>Erinevaid funktsioone saab võrrelda numbrilise süsteemiga.</t>
  </si>
  <si>
    <t>Üksikasjad grupi ees seisva püsiva väljakutse kohta on võimalik panna kasti „Muud andmed“.</t>
  </si>
  <si>
    <t>Eesmärgid</t>
  </si>
  <si>
    <t>(3. osa)</t>
  </si>
  <si>
    <t>Kirjutage ülemisse lahtrisse hästi väljendatud eesmärk või eesmärgid.</t>
  </si>
  <si>
    <t>Loetlege vasakpoolses veerus toimingud.</t>
  </si>
  <si>
    <t>Lisage keskmises veerus iga toimingu etapi lõppkuupäev.</t>
  </si>
  <si>
    <t>Parempoolses veerus loetlege inimesed, kellelt saate abi paluda, vajalikke materjale ja muid asju, mis võivad aidata sammult toimingut lõpule viia.</t>
  </si>
  <si>
    <t>Järgmine põlvkond</t>
  </si>
  <si>
    <t>(4. jagu)</t>
  </si>
  <si>
    <t>Kui on loodud tütarlaste kirikud:</t>
  </si>
  <si>
    <t>Tuginedes teadaolevale, lisage ülemises vasakusse lahtrisse nimi, liider, asukoht, alguskuupäev või põhimeetodid.</t>
  </si>
  <si>
    <t>Viidake ka selle grupi lõikudele vasakus alumises reas.</t>
  </si>
  <si>
    <t>(Igal tütarrühmas peaks olema eraldi coaching-vestlus ja üksikasjalik juhendamisvahend.)</t>
  </si>
  <si>
    <t>Uute rühmade, liidrite või valdkondade puhul, mida uuritakse:</t>
  </si>
  <si>
    <t>Pange võimaliku uue grupi, kogukonna või liidri nimi ülemisse vasakusse kasti.</t>
  </si>
  <si>
    <t>Suurema kasti puhul loetlege, mida viimasel perioodil tehti, et aidata tekkivat rühma või liidrit.</t>
  </si>
  <si>
    <t>Märgistage järgmise ajavahemiku prioriteedid ja arutage nende elluviimise plaani.</t>
  </si>
  <si>
    <t>Coaching Märkused</t>
  </si>
  <si>
    <t>teavet</t>
  </si>
  <si>
    <t>Täiendavad juhendamisjuhised võivad mõnedes seadetes olla kasulikud.</t>
  </si>
  <si>
    <t>Nii treener kui ka treener saavad oma märkmeid hoida.</t>
  </si>
  <si>
    <t>Iga märkmeid esitav isik edastab oma paberi või märkmiku.</t>
  </si>
  <si>
    <t>Kui valmivad juhendamismärkused, on need konfidentsiaalsed ja neid tuleb kaitsta teiste nägemise eest.</t>
  </si>
  <si>
    <t>Краткое руководство</t>
  </si>
  <si>
    <t>Coaching Tool для составления карт поколений - это место, где можно записывать детали сессий коучинга о состоянии и функциях группы. Подробные данные относятся к периоду, который обычно представляет трехмесячный период (четверть года). Это от начала первого месяца до конца третьего месяца.</t>
  </si>
  <si>
    <t>Схема здоровой группы</t>
  </si>
  <si>
    <t>(секция 1)</t>
  </si>
  <si>
    <t>Групповая посещаемость</t>
  </si>
  <si>
    <t>Всего верующих в группе</t>
  </si>
  <si>
    <t>Новые верующие в группе этого периода</t>
  </si>
  <si>
    <t>Всего крещеных в группе</t>
  </si>
  <si>
    <t>В этот период крещен в группе</t>
  </si>
  <si>
    <t>Проследите больший круг.</t>
  </si>
  <si>
    <t>Используйте сплошную линию, если группа объединилась как церковь.</t>
  </si>
  <si>
    <t>Оставьте пунктирную линию, если группа не выступила как церковь.</t>
  </si>
  <si>
    <t>Нарисуйте меньший круг вокруг символа для каждой функции.</t>
  </si>
  <si>
    <t>Обведите символ сплошной линией, которая находится внутри большего круга, если члены группы регулярно участвуют в функции без посторонней помощи.</t>
  </si>
  <si>
    <t>Обведите символ пунктирной линией для функций, над которыми вы работаете или в состоянии выполнять, но на самом деле не выполняли в этот конкретный период времени.</t>
  </si>
  <si>
    <t>Обведите символ за пределами большого круга, если группа не участвует самостоятельно, но у нее есть другой способ участвовать в этой функции.</t>
  </si>
  <si>
    <t>Не обводите символ, если члены группы не имеют регулярного способа участвовать в этой функции.</t>
  </si>
  <si>
    <t>подробности</t>
  </si>
  <si>
    <t>(раздел 2)</t>
  </si>
  <si>
    <t>Вы можете использовать числовую систему для сравнения различных функций.</t>
  </si>
  <si>
    <t>Подробная информация о продолжающемся испытании, с которым сталкивается группа, может быть помещена в поле «Прочие сведения».</t>
  </si>
  <si>
    <t>цели</t>
  </si>
  <si>
    <t>(раздел 3)</t>
  </si>
  <si>
    <t>Напишите хорошо поставленную цель или цели в верхнем поле.</t>
  </si>
  <si>
    <t>Перечислите действия в левом столбце.</t>
  </si>
  <si>
    <t>В среднем столбце добавьте дату завершения для каждого шага действия.</t>
  </si>
  <si>
    <t>В правой колонке перечислите людей, которых вы можете попросить помочь, материалы, которые вам понадобятся, и другие вещи, которые могут помочь в завершении действия.</t>
  </si>
  <si>
    <t>Следующее поколение</t>
  </si>
  <si>
    <t>(раздел 4)</t>
  </si>
  <si>
    <t>Когда создаются дочерние церкви:</t>
  </si>
  <si>
    <t>Основываясь на том, что известно, добавьте имя, лидера, местоположение, дату начала или основные показатели в левом верхнем поле.</t>
  </si>
  <si>
    <t>Также в качестве справки обведите функции для этой группы в левом нижнем поле.</t>
  </si>
  <si>
    <t>(У каждой дочерней группы должен быть отдельный разговор с инструктором и подробный инструктаж.)</t>
  </si>
  <si>
    <t>Для новых групп, лидеров или областей, которые изучаются:</t>
  </si>
  <si>
    <t>Поместите имя потенциальной новой группы, сообщества или лидера в верхнем левом поле.</t>
  </si>
  <si>
    <t>В поле большего размера перечислите, что было сделано за последний период времени, чтобы помочь новой группе или руководителю.</t>
  </si>
  <si>
    <t>Добавьте идеи о том, как добиться нового прогресса и разглядеть руководство Святого Духа в следующем периоде времени.</t>
  </si>
  <si>
    <t>Отметьте приоритеты на следующий период времени и обсудите план их выполнения.</t>
  </si>
  <si>
    <t>Тренерские заметки</t>
  </si>
  <si>
    <t>Информация</t>
  </si>
  <si>
    <t>Дополнительные замечания коучинга могут быть полезны в некоторых ситуациях.</t>
  </si>
  <si>
    <t>И тренер, и тренер могут вести свои записи.</t>
  </si>
  <si>
    <t>Каждый человек, делающий заметки, предоставляет свою собственную бумагу или записную книжку.</t>
  </si>
  <si>
    <t>Если сделаны замечания коучинга, они являются конфиденциальными и должны быть защищены от того, чтобы их видели другие.</t>
  </si>
  <si>
    <t>త్వరిత రిఫరెన్స్ గైడ్</t>
  </si>
  <si>
    <t>జనరేషన మ్యాపింగ్ కోచింగ్ టూల్ ఒక గుంపు యొక్క ఆరోగ్యం మరియు విధులు గురించి కోచింగ్ సెషన్ నుండి వివరాలు రికార్డ్ చేయడానికి ఒక స్థలం. వివరాలు సాధారణంగా మూడు నెలలు (సంవత్సరం యొక్క త్రైమాసికం) ను సూచిస్తాయి. ఇది మొదటి నెలలో ప్రారంభం నుండి మూడవ నెల చివరి వరకు ఉంటుంది.</t>
  </si>
  <si>
    <t>ఆరోగ్యకరమైన బృందం రేఖాచిత్రం</t>
  </si>
  <si>
    <t>(విభాగం 1)</t>
  </si>
  <si>
    <t>గ్రూప్ హాజరు</t>
  </si>
  <si>
    <t>సమూహంలో మొత్తం నమ్మినవారు</t>
  </si>
  <si>
    <t>ఈ కాలంలో సమూహంలో కొత్త నమ్మినవారు</t>
  </si>
  <si>
    <t>సమూహం మొత్తం బాప్టిజం</t>
  </si>
  <si>
    <t>పెద్ద వృత్తాన్ని గుర్తించండి.</t>
  </si>
  <si>
    <t>సమూహం ఒక చర్చిగా కట్టుబడి ఉండకపోతే గీతల గీతను వదిలివేయండి.</t>
  </si>
  <si>
    <t>సమూహం యొక్క సభ్యులు వెలుపల సహాయం లేకుండా ఒక ఫంక్షన్లో క్రమంగా పాల్గొంటే, పెద్ద సర్కిల్లో ఉన్న ఒక ఘన పంక్తితో సర్కిల్ను సర్కిల్ చేయండి.</t>
  </si>
  <si>
    <t>మీరు అభివృద్ధి చెందుతున్న పనిలో లేదా చేయగలిగే పనుల కోసం చుక్కల గీతతో సర్కిల్ను సర్కిల్ చేయండి, కానీ ఈ నిర్దిష్ట కాలంలో నిజంగా చేయలేదు.</t>
  </si>
  <si>
    <t>బృందం తమ సొంత పాల్గొనకపోతే పెద్ద వృత్తము వెలుపల గుర్తును సర్కిల్ చేద్దాం, కానీ ఈ ఫంక్షన్లో పాల్గొనడానికి మరొక మార్గం కూడా ఉంది.</t>
  </si>
  <si>
    <t>వివరాలు</t>
  </si>
  <si>
    <t>(సెక్షన్ 2)</t>
  </si>
  <si>
    <t>ఒక గుంపు ఎదుర్కొంటున్న కొనసాగుతున్న సవాలు గురించి వివరాలు "ఇతర వివరాలు" లో పెట్టవచ్చు.</t>
  </si>
  <si>
    <t>లక్ష్యాలు</t>
  </si>
  <si>
    <t>(సెక్షన్ 3)</t>
  </si>
  <si>
    <t>ఎడమ కాలమ్ లో చర్య చర్య దశలను జాబితా చేయండి.</t>
  </si>
  <si>
    <t>కుడి కాలమ్ లో, మీకు సహాయం చేయదలిచిన వ్యక్తుల జాబితా, మీకు అవసరమైన పదార్థాలు మరియు చర్య తీసుకోవడానికి సహాయపడే ఇతర విషయాలు జాబితా చేయండి.</t>
  </si>
  <si>
    <t>తరువాతి తరం</t>
  </si>
  <si>
    <t>(సెక్షన్ 4)</t>
  </si>
  <si>
    <t>స్థాపించినప్పుడు కుమార్తె చర్చిలు:</t>
  </si>
  <si>
    <t>తెలిసిన దాని ఆధారంగా, ఎగువ ఎడమ పెట్టెలో పేరు, నాయకుడు, స్థానం, ప్రారంభ తేదీ లేదా ప్రధాన మెట్రిక్లను జోడించండి.</t>
  </si>
  <si>
    <t>పెద్ద పెట్టెలో, ఈ కోచింగ్ సెషన్లో నాయకుడిగా వ్యవహరిస్తున్న జాబితా మార్గాలను ప్రోత్సహిస్తుంది, సవాలు చేయండి మరియు కుమార్తె యొక్క నాయకుడు మరియు సమూహాన్ని విడుదల చేయవచ్చు. కుమార్తె గుంపుకు నిర్ణయాలు లేదా ప్రాధాన్యతలను చేయవద్దు.</t>
  </si>
  <si>
    <t>(ప్రతి కుమార్తె గుంపులో ప్రత్యేక కోచింగ్ సంభాషణ మరియు వివరణాత్మక కోచింగ్ సాధనం ఉండాలి.)</t>
  </si>
  <si>
    <t>ఎగువ ఎడమ పెట్టెలో సంభావ్య కొత్త సమూహం, సంఘం లేదా నాయకుడి పేరును ఉంచండి.</t>
  </si>
  <si>
    <t>పెద్ద బాక్స్ లో, అభివృద్ధి చెందుతున్న సమూహం లేదా నాయకుడికి సహాయం చేయడానికి చివరి కాలంలో ఏమి జరిగింది.</t>
  </si>
  <si>
    <t>కొత్త పురోగతిని ఎలా సంపాదించాలో మరియు తదుపరి కాలంలో పవిత్ర ఆత్మ యొక్క ప్రముఖతను ఎలా గుర్తించాలో అనే ఆలోచనలను జోడించండి.</t>
  </si>
  <si>
    <t>తదుపరి సమయ వ్యవధి కోసం ప్రాధాన్యతలను గుర్తించి వాటిని సాధించడానికి ప్రణాళికను చర్చించండి.</t>
  </si>
  <si>
    <t>కోచింగ్ గమనికలు</t>
  </si>
  <si>
    <t>సమాచారం</t>
  </si>
  <si>
    <t>అదనపు కోచింగ్ గమనికలు కొన్ని అమర్పులలో ఉపయోగపడతాయి.</t>
  </si>
  <si>
    <t>వ్యక్తి కోచ్గా మరియు కోచ్ వారి సొంత గమనికలు ఉంచుకోవచ్చు.</t>
  </si>
  <si>
    <t>కోచింగ్ గమనికలు చేస్తే, వారు గోప్యంగా ఉంటారు మరియు ఇతరులు చూడకుండా రక్షించాల్సిన అవసరం ఉంది.</t>
  </si>
  <si>
    <t>விரைவு குறிப்பு வழிகாட்டி</t>
  </si>
  <si>
    <t>ஆரோக்கியமான குழு வரைபடம்</t>
  </si>
  <si>
    <t>(பிரிவு 1)</t>
  </si>
  <si>
    <t>குழு வருகை</t>
  </si>
  <si>
    <t>குழுவில் உள்ள மொத்த விசுவாசிகள்</t>
  </si>
  <si>
    <t>குழுவில் மொத்தம் முழு ஞானஸ்நானம்</t>
  </si>
  <si>
    <t>பெரிய வட்டம் கண்டுபிடிக்க.</t>
  </si>
  <si>
    <t>குழுவானது ஒரு தேவாலயமாக ஒன்றிணைந்திருந்தால், திடமான வரிகளைப் பயன்படுத்துங்கள்.</t>
  </si>
  <si>
    <t>குழுவானது ஒரு தேவாலயமாகச் செயல்படவில்லையென்றால், கோடு போட வேண்டும்.</t>
  </si>
  <si>
    <t>ஒவ்வொன்றிற்கும் ஒரு சின்னத்தை சுற்றி ஒரு சிறிய வட்டத்தை வரையலாம்.</t>
  </si>
  <si>
    <t>குழு உறுப்பினர்கள் வெளிப்புற உதவியின்றி ஒரு செயல்பாட்டில் தொடர்ந்து பங்கேற்கிறார்களானால், பெரிய வட்டம் உள்ளே இருக்கும் திடமான கோடுடன் குறியீட்டை வட்டம் செய்யவும்.</t>
  </si>
  <si>
    <t>குழுவில் உறுப்பினர்கள் இந்தச் செயல்பாட்டில் பங்கேற்க வழக்கமான வழி இல்லை என்றால் சின்னத்தை வட்டம் செய்ய வேண்டாம்.</t>
  </si>
  <si>
    <t>பெயரிடப்பட்ட இந்த பிரிவின் கீழ் உள்ள பெட்டிகளில் நிரப்புங்கள். கவனமாக துல்லியமாக தகவல் பின்னர் ஒன்றாக குறிப்பு வைத்திருக்கிறது. இது மற்ற குழுக்களுடனான இந்த குழுவின் இணைப்பை காட்டுகிறது. இந்த தகவலை பயிற்சி அமர்வுக்கு முன் பூர்த்தி செய்யலாம்.</t>
  </si>
  <si>
    <t>விவரங்கள்</t>
  </si>
  <si>
    <t>(பிரிவு 2)</t>
  </si>
  <si>
    <t>நீங்கள் வெவ்வேறு செயல்பாடுகளை ஒப்பிட்டு ஒரு எண் முறையைப் பயன்படுத்தலாம்.</t>
  </si>
  <si>
    <t>ஒரு குழு எதிர்கொள்ளும் தற்போதைய சவாலை பற்றிய விவரங்கள் பெட்டியில் "மற்ற விவரங்கள்" வைக்கப்படலாம்.</t>
  </si>
  <si>
    <t>இலக்குகள்</t>
  </si>
  <si>
    <t>(பிரிவு 3)</t>
  </si>
  <si>
    <t>சிறந்த பெட்டியில் சிறந்த குறிக்கோள் அல்லது இலக்கை எழுதுங்கள்.</t>
  </si>
  <si>
    <t>நடுத்தர நெடுவரிசையில், ஒவ்வொரு செயல்பாட்டு படிவத்திற்கும் நிறைவு தேதி சேர்க்கவும்.</t>
  </si>
  <si>
    <t>அடுத்த தலைமுறை</t>
  </si>
  <si>
    <t>(பிரிவு 4)</t>
  </si>
  <si>
    <t>அறியப்பட்டதன் அடிப்படையில், மேலே இடது பெட்டியில் பெயர், தலைவர், இருப்பிடம், தொடக்க தேதி அல்லது முக்கிய அளவீடுகளைச் சேர்க்கவும்.</t>
  </si>
  <si>
    <t>ஒரு குறிப்பாக, கீழ் இடது பெட்டியில் அந்த குழுவிற்கான funtion களை வட்டம் செய்யவும்.</t>
  </si>
  <si>
    <t>(ஒவ்வொரு மகளிர் குழுவும் தனித்தனி பயிற்சிக்கான உரையாடலும் விரிவான பயிற்சி கருவையும் கொண்டிருக்க வேண்டும்.)</t>
  </si>
  <si>
    <t>ஆராயும் குழுக்கள், தலைவர்கள் அல்லது பகுதிகள்:</t>
  </si>
  <si>
    <t>மேல் இடது பெட்டியில் சாத்தியமான புதிய குழு, சமூகம் அல்லது தலைப்பின் பெயரை இடுங்கள்.</t>
  </si>
  <si>
    <t>பெரிய பெட்டியில், வளர்ந்து வரும் குழு அல்லது தலைவர் உதவ கடைசி நேரத்தில் என்ன செய்யப்பட்டது என்பதை பட்டியல்.</t>
  </si>
  <si>
    <t>புதிய முன்னேற்றத்தை எவ்வாறு எடுத்துக்கொள்வது மற்றும் அடுத்த தடவை பரிசுத்த ஆவியின் வழிநடத்துதலை எவ்வாறு புரிந்துகொள்வது என்ற கருத்துகளைச் சேர்க்கவும்.</t>
  </si>
  <si>
    <t>அடுத்த முறைக்கு முன்னுரிமைகளை மார்க் செய்து அவற்றை நிறைவேற்றுவதற்கான ஒரு திட்டத்தை விவாதிக்கவும்.</t>
  </si>
  <si>
    <t>பயிற்சி குறிப்புகள்</t>
  </si>
  <si>
    <t>தகவல்</t>
  </si>
  <si>
    <t>கூடுதல் பயிற்சி குறிப்புகள் சில அமைப்புகளில் உதவியாக இருக்கும்.</t>
  </si>
  <si>
    <t>பயிற்சியளிக்கும் நபர் மற்றும் பயிற்சியாளர் தங்கள் குறிப்புகளை வைத்திருக்க முடியும்.</t>
  </si>
  <si>
    <t>ஒவ்வொரு நபரும் குறிப்புகள் செய்யும் அவரது / அவரின் சொந்த காகித அல்லது குறிப்பு புத்தகம்.</t>
  </si>
  <si>
    <t>দ্রুত রেফারেন্স গাইড</t>
  </si>
  <si>
    <t>স্বাস্থ্যকর গ্রুপ চিত্র</t>
  </si>
  <si>
    <t>গ্রুপ উপস্থিতি</t>
  </si>
  <si>
    <t>দলের মোট বিশ্বাসী</t>
  </si>
  <si>
    <t>বিস্তারিত</t>
  </si>
  <si>
    <t>পরবর্তী প্রজন্ম</t>
  </si>
  <si>
    <t>বড় বাক্সে, উদীয়মান গ্রুপ বা নেতাকে সাহায্য করার জন্য শেষ সময়ের মধ্যে কী করা হয়েছিল তা তালিকাভুক্ত করুন।</t>
  </si>
  <si>
    <t>পরবর্তী সময়ের জন্য অগ্রাধিকার চিহ্নিত করুন এবং তাদের সম্পন্ন করার একটি পরিকল্পনা নিয়ে আলোচনা করুন।</t>
  </si>
  <si>
    <t>কোচিং নোট</t>
  </si>
  <si>
    <t>তথ্য</t>
  </si>
  <si>
    <t>जनरेशन मैपिंग कोचिंग टूल</t>
  </si>
  <si>
    <t>Ferramenta de Treinamento de Mapeamento Geracional</t>
  </si>
  <si>
    <t>জেনারেশন ম্যাপিং কোচিং টুল</t>
  </si>
  <si>
    <t>தலைமுறை வரைபட பயிற்சி கருவி</t>
  </si>
  <si>
    <t>జనరేషనల్ మ్యాపింగ్ కోచింగ్ టూల్</t>
  </si>
  <si>
    <t>Coaching Tool для создания карт поколений</t>
  </si>
  <si>
    <t>世代マッピングコーチングツール</t>
  </si>
  <si>
    <t>세대 매핑 코칭 도구</t>
  </si>
  <si>
    <t>In the top row of boxes, record the number for each category in the box under each symbol.</t>
  </si>
  <si>
    <t xml:space="preserve">Use the second row of boxes only if your group is recording additional custom defined categories. Record each category in the box above the assigned number. </t>
  </si>
  <si>
    <t>First row of boxes: Record the number for each category in the box under each symbol.</t>
  </si>
  <si>
    <t xml:space="preserve">Second row of boxes:  Use these only if your group is recording custom defined categories. Record each category in the box above the assigned number. </t>
  </si>
  <si>
    <t>इस लक्ष्य या लक्ष्यों को प्राप्त करने के लिए मुझे क्या कदम उठाने की आवश्यकता होगी?</t>
  </si>
  <si>
    <t>Quais etapas eu preciso dar para atingir essa meta ou metas?</t>
  </si>
  <si>
    <t>இந்த இலக்கை அல்லது இலக்குகளை அடைய நான் என்ன நடவடிக்கை எடுக்க வேண்டும்?</t>
  </si>
  <si>
    <t>What steps will I need to take to achieve this goal or goals?</t>
  </si>
  <si>
    <t>Какие шаги мне нужно предпринять для достижения этой цели или целей?</t>
  </si>
  <si>
    <t>Milliseid samme ma pean selle eesmärgi või eesmärkide saavutamiseks tegema?</t>
  </si>
  <si>
    <t>Ki etap mwen pral bezwen pran pou reyalize objektif sa a oswa objektif sa yo?</t>
  </si>
  <si>
    <t>この目標を達成するためにどのようなステップを踏む必要がありますか？</t>
  </si>
  <si>
    <t>이 목표 또는 목표를 달성하기 위해 어떤 단계를 밟아야합니까?</t>
  </si>
  <si>
    <t>Group Metrics</t>
  </si>
  <si>
    <t>Group Functions</t>
  </si>
  <si>
    <t>Use the space provided to coach the leader on how the next generation is being encouraged and developed. If you need more space, you may use more paper.</t>
  </si>
  <si>
    <t>Add notes in the space next to the symbol that provide more detail about that function of the group. You may not need to use every space.</t>
  </si>
  <si>
    <t>Métricas del grupo</t>
  </si>
  <si>
    <t>Enter the unique identification number or code assgned to the group.</t>
  </si>
  <si>
    <t>Entrez le numéro d'identification unique ou le code attribué au groupe.</t>
  </si>
  <si>
    <t>Ingrese el número de identificación único o el código asignado al grupo.</t>
  </si>
  <si>
    <t>id</t>
  </si>
  <si>
    <t>기도</t>
  </si>
  <si>
    <t>Collected</t>
  </si>
  <si>
    <t>Sample Coaching Questions</t>
  </si>
  <si>
    <t>Potential Questions to Ask When Filling Out Section One, the Healthy Group Diagram, of the Generational Mapping Coaching Tool:</t>
  </si>
  <si>
    <t>Potential Questions to Ask When Filling Out Sections Two and Three, Details and Goals sections, of the Generational Mapping Coaching Tool:</t>
  </si>
  <si>
    <t>GENERATIONAL MAPPING TRAINING</t>
  </si>
  <si>
    <t>Potential Questions to Ask When Filling Out Section Four, the Next Generation section, of the Generational Mapping Tool:</t>
  </si>
  <si>
    <t>A.</t>
  </si>
  <si>
    <t>Top of Section One:</t>
  </si>
  <si>
    <t>B.</t>
  </si>
  <si>
    <t>Handout 3: Sample Coaching Questions</t>
  </si>
  <si>
    <t>How many people are attending your group now?</t>
  </si>
  <si>
    <t>How many are believers in the group? How many became believers in the last period (e.g. three months)?</t>
  </si>
  <si>
    <t>How many are baptized believers in the group? How many became baptized believers in the last period (e.g. three months)?</t>
  </si>
  <si>
    <t>Center of Section One:</t>
  </si>
  <si>
    <t>Has the group committed to or covenanted together to become a fully functional New Testament church? If so, make the circle solid. If not, keep the circle as a dashed line.</t>
  </si>
  <si>
    <t>Which of the nine functions of a New Testament church are the members of your group practicing on a regular basis without any outside help? As the church planter identifies the functions, circle each function inside the bigger circle. Circle the ones on the outside of the bigger circle that the group is not practicing on their own but do have another way to participate in this function. Do not circle the function on the outside if members of the group have no regular way to participate in this function.</t>
  </si>
  <si>
    <t>How effective would you rate how the group is doing this function? If functioning healthily, circle the function in the circle with a solid line; if the group needs to work on this function, circle the activity with a dashed line.</t>
  </si>
  <si>
    <t>Section Two:</t>
  </si>
  <si>
    <t>What is your group doing for this function? (Ask this question for each function the group is doing)</t>
  </si>
  <si>
    <t>You indicated that the group needs to grow in doing this function by drawing a dashed line. What would it take to move the function to a solid line?</t>
  </si>
  <si>
    <t>How could you train or coach the group to be more effective in this function? When could you do this?</t>
  </si>
  <si>
    <t>Which of the functions that the group is not practicing should they start next to become a church?</t>
  </si>
  <si>
    <t>How will you help the group know that this is an important function?</t>
  </si>
  <si>
    <t>How will you start helping the group start doing this function?</t>
  </si>
  <si>
    <t>What additional information about the group or the group’s context helps understand the reality of what is happening in the group?</t>
  </si>
  <si>
    <t>Section Three:</t>
  </si>
  <si>
    <t>As you look at what your group is doing or not doing, what is(are) the most important goal(s) that you need to focus on for the next period (e.g. three months)?</t>
  </si>
  <si>
    <t>What actions steps could you take to move yourself toward this goal? What else?</t>
  </si>
  <si>
    <t>What challenges do you face in this area?</t>
  </si>
  <si>
    <t>What could you do to overcome these challenges?</t>
  </si>
  <si>
    <t>What have you tried already? What difference did your actions make?</t>
  </si>
  <si>
    <t>Who could help you?</t>
  </si>
  <si>
    <t>What other resources could you use?</t>
  </si>
  <si>
    <t>What have you seen others do that might work for you?</t>
  </si>
  <si>
    <t>What action steps will you take in the next period (e.g. three months)? Circle them or put a star or check mark next to them.</t>
  </si>
  <si>
    <t>How are you coaching these next generation leaders?</t>
  </si>
  <si>
    <t>What is working well in your coaching?</t>
  </si>
  <si>
    <t>Where do you need help in coaching these leaders?</t>
  </si>
  <si>
    <t>What functions are the groups doing well in these next generation groups? Where do they struggle or need help?</t>
  </si>
  <si>
    <t>What training does each leader and group need?</t>
  </si>
  <si>
    <t>Who and how will this training be given?</t>
  </si>
  <si>
    <t>What are you doing to encourage, support, pray for, and hold these leaders accountable?</t>
  </si>
  <si>
    <t>What is your goal and action steps as you coach each leader in the next period (e.g. three months)?</t>
  </si>
  <si>
    <t>By when will you take each of these action steps?</t>
  </si>
  <si>
    <t>Who needs to do what to help you accomplish these action steps? Write the names down next to the action step.</t>
  </si>
  <si>
    <t>C.</t>
  </si>
  <si>
    <t>1.</t>
  </si>
  <si>
    <t>2.</t>
  </si>
  <si>
    <t>3.</t>
  </si>
  <si>
    <t>4.</t>
  </si>
  <si>
    <t>5.</t>
  </si>
  <si>
    <t>6.</t>
  </si>
  <si>
    <t>7.</t>
  </si>
  <si>
    <t>8.</t>
  </si>
  <si>
    <t>9.</t>
  </si>
  <si>
    <t>10.</t>
  </si>
  <si>
    <t>11.</t>
  </si>
  <si>
    <t>Folleto 3: Ejemplos de preguntas de entrenamiento</t>
  </si>
  <si>
    <t>Parte superior de la Sección Uno:</t>
  </si>
  <si>
    <t>Centro de la Sección Uno:</t>
  </si>
  <si>
    <t>Sección Dos:</t>
  </si>
  <si>
    <t>¿Cómo ayudará al grupo a saber que esta es una función importante?</t>
  </si>
  <si>
    <t>Sección Tres:</t>
  </si>
  <si>
    <t>Al observar lo que hace o no hace su grupo, ¿cuáles son las metas más importantes en las que necesita concentrarse para el próximo período (por ejemplo, tres meses)?</t>
  </si>
  <si>
    <t>¿Qué has visto hacer a otros que podría funcionar para ti?</t>
  </si>
  <si>
    <t>¿Qué pasos de acción tomará en el próximo período (por ejemplo, tres meses)? Encierre en un círculo o ponga una estrella o marca de verificación junto a ellos.</t>
  </si>
  <si>
    <t>¿Dónde necesitas ayuda para entrenar a estos líderes?</t>
  </si>
  <si>
    <t>¿Qué entrenamiento necesita cada líder y grupo?</t>
  </si>
  <si>
    <t>¿Qué está haciendo para alentar, apoyar, orar y responsabilizar a estos líderes?</t>
  </si>
  <si>
    <t>¿Cuál es su objetivo y pasos de acción a medida que entrena a cada líder en el próximo período (por ejemplo, tres meses)?</t>
  </si>
  <si>
    <t>राष्ट्रीय मैपिंग प्रशिक्षण</t>
  </si>
  <si>
    <t>हैंडआउट 3: नमूना कोचिंग प्रश्न</t>
  </si>
  <si>
    <t>नमूना कोचिंग प्रश्न</t>
  </si>
  <si>
    <t>जनरेशन मैपिंग कोचिंग टूल के सेक्शन वन, हेल्दी ग्रुप डायग्राम से भरने के लिए संभावित प्रश्न</t>
  </si>
  <si>
    <t>ए।</t>
  </si>
  <si>
    <t>बी</t>
  </si>
  <si>
    <t>सी।</t>
  </si>
  <si>
    <t>1।</t>
  </si>
  <si>
    <t>2।</t>
  </si>
  <si>
    <t>3।</t>
  </si>
  <si>
    <t>4।</t>
  </si>
  <si>
    <t>5।</t>
  </si>
  <si>
    <t>6।</t>
  </si>
  <si>
    <t>7।</t>
  </si>
  <si>
    <t>8।</t>
  </si>
  <si>
    <t>9।</t>
  </si>
  <si>
    <t>10।</t>
  </si>
  <si>
    <t>1 1।</t>
  </si>
  <si>
    <t>धारा एक के ऊपर:</t>
  </si>
  <si>
    <t>अब आपके समूह में कितने लोग भाग ले रहे हैं?</t>
  </si>
  <si>
    <t>समूह में कितने विश्वासी हैं? अंतिम अवधि में कितने विश्वासी बने (उदाहरण के लिए तीन महीने)?</t>
  </si>
  <si>
    <t>समूह में बपतिस्मा लेने वाले कितने हैं? अंतिम अवधि में कितने बपतिस्मा लेने वाले विश्वासी बन गए (जैसे तीन महीने)?</t>
  </si>
  <si>
    <t>धारा एक का केंद्र:</t>
  </si>
  <si>
    <t>क्या समूह पूरी तरह कार्यात्मक न्यू टेस्टामेंट चर्च बनने के लिए एक साथ प्रतिबद्ध या वाचाबद्ध है? यदि ऐसा है, तो सर्कल को ठोस बनाएं। यदि नहीं, तो सर्कल को धराशायी रेखा के रूप में रखें।</t>
  </si>
  <si>
    <t>न्यू टेस्टामेंट चर्च के नौ कार्यों में से कौन से आपके समूह के सदस्य नियमित रूप से बिना किसी बाहरी मदद के अभ्यास कर रहे हैं? जैसा कि चर्च प्लानर कार्यों की पहचान करता है, प्रत्येक फ़ंक्शन को बड़े सर्कल के अंदर सर्कल करें। वृहद सर्कल के बाहर वालों को सर्कल करें कि समूह अपने दम पर अभ्यास नहीं कर रहा है, लेकिन इस फ़ंक्शन में भाग लेने का एक और तरीका है। यदि समूह के सदस्यों के पास इस समारोह में भाग लेने का कोई नियमित तरीका नहीं है, तो बाहर की तरफ समारोह को न करें।</t>
  </si>
  <si>
    <t>आप कैसे प्रभावी होंगे कि समूह इस कार्य को कैसे कर रहा है? यदि स्वस्थ रूप से कार्य कर रहा है, तो एक ठोस रेखा के साथ सर्कल में फ़ंक्शन को सर्कल करें; यदि समूह को इस फ़ंक्शन पर काम करने की आवश्यकता है, तो गतिविधि को एक धराशायी रेखा के साथ सर्कल करें।</t>
  </si>
  <si>
    <t>संभावित मैपिंग कोचिंग टूल के सेक्शन दो और तीन, विवरण और लक्ष्य अनुभागों को भरने के दौरान संभावित प्रश्न:</t>
  </si>
  <si>
    <t>खंड दो:</t>
  </si>
  <si>
    <t>आपका समूह इस कार्य के लिए क्या कर रहा है? (प्रत्येक समूह जो कार्य कर रहा है, उसके लिए यह प्रश्न पूछें)</t>
  </si>
  <si>
    <t>आपने संकेत दिया कि समूह को धराशायी रेखा खींचकर इस कार्य को करने की आवश्यकता है। फ़ंक्शन को एक ठोस रेखा पर ले जाने में क्या होगा?</t>
  </si>
  <si>
    <t>आप इस समारोह में अधिक प्रभावी होने के लिए समूह को कैसे प्रशिक्षित या प्रशिक्षित कर सकते हैं? आप ऐसा कब कर सकते हैं?</t>
  </si>
  <si>
    <t>कौन से कार्य जो समूह अभ्यास नहीं कर रहे हैं, उन्हें चर्च बनने के लिए शुरू करना चाहिए?</t>
  </si>
  <si>
    <t>आप समूह को यह जानने में कैसे मदद करेंगे कि यह एक महत्वपूर्ण कार्य है?</t>
  </si>
  <si>
    <t>आप इस फ़ंक्शन को करने में समूह की मदद कैसे शुरू करेंगे?</t>
  </si>
  <si>
    <t>समूह या समूह के संदर्भ के बारे में क्या अतिरिक्त जानकारी समूह में क्या हो रही है, उसकी वास्तविकता को समझने में मदद करती है?</t>
  </si>
  <si>
    <t>धारा तीन:</t>
  </si>
  <si>
    <t>जैसा कि आप देखते हैं कि आपका समूह क्या कर रहा है या नहीं कर रहा है, क्या है (हैं) सबसे महत्वपूर्ण लक्ष्य (s) है जिसे आपको अगली अवधि (जैसे तीन महीने) पर ध्यान केंद्रित करने की आवश्यकता है?</t>
  </si>
  <si>
    <t>इस लक्ष्य की ओर अपने आप को ले जाने के लिए आप क्या कदम उठा सकते हैं? और क्या?</t>
  </si>
  <si>
    <t>इस क्षेत्र में आपको किन चुनौतियों का सामना करना पड़ता है?</t>
  </si>
  <si>
    <t>इन चुनौतियों से पार पाने के लिए आप क्या कर सकते हैं?</t>
  </si>
  <si>
    <t>आपने पहले से क्या करने की कोशिश की है? आपके कार्यों से क्या फर्क पड़ा?</t>
  </si>
  <si>
    <t>कौन आपकी मदद कर सकता है?</t>
  </si>
  <si>
    <t>आप किन अन्य संसाधनों का उपयोग कर सकते हैं?</t>
  </si>
  <si>
    <t>आपने दूसरों को क्या करते देखा है जो आपके काम आ सकता है?</t>
  </si>
  <si>
    <t>अगली अवधि (जैसे तीन महीने) में आप क्या कदम उठाएंगे? उन्हें सर्कल करें या उनके बगल में एक स्टार या चेक मार्क लगाएं।</t>
  </si>
  <si>
    <t>आप इनमें से प्रत्येक कदम कब उठाएंगे?</t>
  </si>
  <si>
    <t>इन क्रिया चरणों को पूरा करने के लिए आपको क्या करने की आवश्यकता है? कार्रवाई चरण के आगे नाम लिखें।</t>
  </si>
  <si>
    <t>संभावित प्रश्न जब अनुभाग चार से भरना हो, तो अगली पीढ़ी का अनुभाग, जनरेशन मैपिंग टूल का:</t>
  </si>
  <si>
    <t>आप इन अगली पीढ़ी के नेताओं को कैसे कोचिंग दे रहे हैं?</t>
  </si>
  <si>
    <t>आपकी कोचिंग में क्या अच्छा चल रहा है?</t>
  </si>
  <si>
    <t>इन नेताओं को कोचिंग देने में आपको कहां मदद चाहिए?</t>
  </si>
  <si>
    <t>इन अगली पीढ़ी के समूहों में क्या कार्य अच्छा कर रहे हैं? वे कहाँ संघर्ष करते हैं या मदद की ज़रूरत है?</t>
  </si>
  <si>
    <t>प्रत्येक नेता और समूह को किस प्रशिक्षण की आवश्यकता है?</t>
  </si>
  <si>
    <t>यह प्रशिक्षण किसे और कैसे दिया जाएगा?</t>
  </si>
  <si>
    <t>आप इन नेताओं को प्रोत्साहित करने, समर्थन देने, प्रार्थना करने और जवाबदेह ठहराने के लिए क्या कर रहे हैं?</t>
  </si>
  <si>
    <t>अगली अवधि में (जैसे तीन महीने) जब आप प्रत्येक नेता को कोच करते हैं तो आपका लक्ष्य और कार्रवाई कदम क्या होता है?</t>
  </si>
  <si>
    <t>TREINAMENTO DE MAPEAMENTO GERACIONAL</t>
  </si>
  <si>
    <t>Folha de Apoio 3: Exemplo de Questões de Treinamento</t>
  </si>
  <si>
    <t>Exemplo de perguntas de coaching</t>
  </si>
  <si>
    <t>Perguntas em potencial a serem feitas ao preencher a Seção Um, o Diagrama de Grupo Saudável, da Ferramenta de Treinamento de Mapeamento Geracional:</t>
  </si>
  <si>
    <t>Parte superior da seção um:</t>
  </si>
  <si>
    <t>Quantas pessoas estão participando do seu grupo agora?</t>
  </si>
  <si>
    <t>Quantos são crentes no grupo? Quantos se tornaram crentes no último período (por exemplo, três meses)?</t>
  </si>
  <si>
    <t>Quantos são os crentes batizados no grupo? Quantos se tornaram crentes batizados no último período (por exemplo, três meses)?</t>
  </si>
  <si>
    <t>Centro da Seção Um:</t>
  </si>
  <si>
    <t>O grupo se comprometeu ou fez convênios para se tornar uma igreja do Novo Testamento totalmente funcional? Se assim for, faça o círculo sólido. Caso contrário, mantenha o círculo como uma linha tracejada.</t>
  </si>
  <si>
    <t>Quais das nove funções de uma igreja do Novo Testamento são os membros do seu grupo praticando regularmente sem ajuda externa? Quando o plantador de igrejas identifica as funções, circule cada função dentro do círculo maior. Circule aqueles do lado de fora do círculo maior que o grupo não está praticando sozinho, mas tem outro jeito de participar dessa função. Não circule a função do lado de fora se os membros do grupo não tiverem um modo regular de participar desta função.</t>
  </si>
  <si>
    <t>Quão eficaz você classificaria como o grupo está fazendo essa função? Se funcionar de forma saudável, circule a função no círculo com uma linha sólida; Se o grupo precisar trabalhar nessa função, circule a atividade com uma linha tracejada.</t>
  </si>
  <si>
    <t>Perguntas em potencial a serem feitas ao preencher as seções Duas e Três, Detalhes e Metas, da Ferramenta de Treinamento de Mapeamento Geracional:</t>
  </si>
  <si>
    <t>Seção Dois:</t>
  </si>
  <si>
    <t>O que o seu grupo está fazendo para essa função? (Faça esta pergunta para cada função que o grupo está fazendo)</t>
  </si>
  <si>
    <t>Você indicou que o grupo precisa crescer ao fazer essa função desenhando uma linha tracejada. O que seria necessário para mover a função para uma linha sólida?</t>
  </si>
  <si>
    <t>Como você poderia treinar ou treinar o grupo para ser mais eficaz nessa função? Quando você poderia fazer isso?</t>
  </si>
  <si>
    <t>Quais das funções que o grupo não está praticando devem começar a se tornar uma igreja?</t>
  </si>
  <si>
    <t>Como você ajudará o grupo a saber que essa é uma função importante?</t>
  </si>
  <si>
    <t>Como você vai começar a ajudar o grupo a começar a fazer essa função?</t>
  </si>
  <si>
    <t>Quais informações adicionais sobre o grupo ou o contexto do grupo ajudam a entender a realidade do que está acontecendo no grupo?</t>
  </si>
  <si>
    <t>Seção Três:</t>
  </si>
  <si>
    <t>Ao observar o que o seu grupo está fazendo ou o que não está fazendo, quais são os objetivos mais importantes nos quais você precisa se concentrar no próximo período (por exemplo, três meses)?</t>
  </si>
  <si>
    <t>Que ações você pode tomar para se mover em direção a essa meta? O quê mais?</t>
  </si>
  <si>
    <t>Que desafios você enfrenta nesta área?</t>
  </si>
  <si>
    <t>O que você poderia fazer para superar esses desafios?</t>
  </si>
  <si>
    <t>O que você já tentou? Que diferença suas ações fizeram?</t>
  </si>
  <si>
    <t>Quem poderia te ajudar?</t>
  </si>
  <si>
    <t>Que outros recursos você poderia usar?</t>
  </si>
  <si>
    <t>O que você viu os outros que podem trabalhar para você?</t>
  </si>
  <si>
    <t>Que medidas de ação você tomará no próximo período (por exemplo, três meses)? Circule-os ou coloque uma estrela ou marca de verificação ao lado deles.</t>
  </si>
  <si>
    <t>Quando você tomará cada uma dessas etapas de ação?</t>
  </si>
  <si>
    <t>Quem precisa fazer o que para ajudá-lo a realizar essas etapas de ação? Escreva os nomes ao lado da etapa de ação.</t>
  </si>
  <si>
    <t>Perguntas em potencial a serem feitas ao preencher a Seção Quatro, a seção Próxima Geração, da Ferramenta de Mapeamento Geracional:</t>
  </si>
  <si>
    <t>Como você está treinando esses líderes da próxima geração?</t>
  </si>
  <si>
    <t>O que está funcionando bem no seu treinamento?</t>
  </si>
  <si>
    <t>Onde você precisa de ajuda para treinar esses líderes?</t>
  </si>
  <si>
    <t>Quais funções os grupos estão fazendo bem nesses grupos da próxima geração? Onde eles lutam ou precisam de ajuda?</t>
  </si>
  <si>
    <t>Qual treinamento cada líder e grupo precisa?</t>
  </si>
  <si>
    <t>Quem e como esse treinamento será dado?</t>
  </si>
  <si>
    <t>O que você está fazendo para incentivar, apoiar, orar e responsabilizar esses líderes?</t>
  </si>
  <si>
    <t>Qual é o seu objetivo e as etapas de ação ao treinar cada líder no próximo período (por exemplo, três meses)?</t>
  </si>
  <si>
    <t>জেনারেল ম্যাপিং প্রশিক্ষণ</t>
  </si>
  <si>
    <t>নমুনা কোচিং প্রশ্ন</t>
  </si>
  <si>
    <t>এই চ্যালেঞ্জ মোকাবেলায় আপনি কী করতে পারেন?</t>
  </si>
  <si>
    <t>কে আপনাকে সাহায্য করতে পারে?</t>
  </si>
  <si>
    <t>প্রতিটি নেতা এবং দলের কি প্রশিক্ষণ প্রয়োজন?</t>
  </si>
  <si>
    <t>কে এবং কিভাবে এই প্রশিক্ষণ দেওয়া হবে?</t>
  </si>
  <si>
    <t>GENERAL MAPPING TRAINING</t>
  </si>
  <si>
    <t>கையுறை 3: மாதிரி பயிற்சி கேள்விகள்</t>
  </si>
  <si>
    <t>மாதிரி பயிற்சி கேள்விகள்</t>
  </si>
  <si>
    <t>கேபினட் மேப்பிங் பயிற்சி கருவியில் பிரிவு ஒன்று, ஆரோக்கியமான குழு வரைபடத்தை நிரப்பும்போது கேட்க வேண்டிய சாத்தியமான கேள்விகள்:</t>
  </si>
  <si>
    <t>ஏ</t>
  </si>
  <si>
    <t>பி</t>
  </si>
  <si>
    <t>சி</t>
  </si>
  <si>
    <t>பிரிவு ஒன்றுக்கு மேல்:</t>
  </si>
  <si>
    <t>இப்போது உங்கள் குழுவில் எத்தனை பேர் கலந்து கொள்கிறார்கள்?</t>
  </si>
  <si>
    <t>குழுவில் எத்தனைபேர் விசுவாசிகள்? கடைசி காலகட்டத்தில் (எ.கா. மூன்று மாதங்கள்) எத்தனை பேர் விசுவாசிகளாக மாறினர்?</t>
  </si>
  <si>
    <t>குழுவில் எத்தனை பேர் ஞானஸ்நானம் பெற்றிருக்கிறார்கள்? கடந்த காலத்தில் முழுக்காட்டுதல் பெற்ற விசுவாசிகள் எத்தனை பேர் (எ.கா. மூன்று மாதங்கள்)?</t>
  </si>
  <si>
    <t>பிரிவு ஒன்று மையம்:</t>
  </si>
  <si>
    <t>குழுவானது முழுமையாக செயல்பட்ட புதிய ஏற்பாட்டு சபை ஆக ஒன்றாக ஒன்றுசேர்ந்து உடன்பட்டதா? அவ்வாறு இருந்தால், வட்டத்தை திடப்படுத்தவும். இல்லையென்றால், வட்டத்தை ஒரு கோடு போன்று வையுங்கள்.</t>
  </si>
  <si>
    <t>ஒரு புதிய ஏற்பாட்டுத் திருச்சபையின் ஒன்பது அம்சங்களில் எந்தவொரு வெளிப்புற உதவியும் இன்றி உங்கள் குழு உறுப்பினர்கள் வழக்கமாக பயிற்சி பெறுகிறார்களா? சர்ச் பிளானர் செயல்பாடுகளை அடையாளம் காண்பது போல, பெரிய வட்டம் உள்ளே ஒவ்வொரு செயல்பாடு வட்டம். பெரிய வட்டம் வெளியில் உள்ளவற்றை வட்டமிடுவதன் மூலம் குழுவானது தங்கள் சொந்தப் பயிற்சிக்கு இல்லை, ஆனால் இந்த செயல்பாட்டில் பங்கேற்க மற்றொரு வழி உள்ளது. குழுவில் உறுப்பினர்கள் இந்தச் செயலில் பங்கேற்க வழக்கமான வழி இல்லை என்றால் வெளிப்புறத்தில் செயல்படாதீர்கள்.</t>
  </si>
  <si>
    <t>குழு இந்த செயல்பாட்டை எவ்வாறு செய்கிறது என்பதை நீங்கள் எவ்வளவு பயனுள்ளதாக மதிப்பிடுவீர்கள்? ஆரோக்கியமாக செயல்படும் என்றால், வட்டம் வட்டத்தில் ஒரு வரியுடன் வட்டம்; குழுவானது இந்தச் செயல்பாட்டில் வேலை செய்ய வேண்டியிருந்தால், செயலிழப்பு வரியுடன் செயல்பாட்டை வட்டமிடுக.</t>
  </si>
  <si>
    <t>தலைமுறை வரைபட பயிற்சி கருவிக்கு இரண்டு மற்றும் மூன்று பிரிவுகள், விவரம் மற்றும் இலக்கு பிரிவுகளை நிரப்புகையில் கேட்கும் சாத்தியமான கேள்விகள்:</t>
  </si>
  <si>
    <t>பிரிவு இரண்டு:</t>
  </si>
  <si>
    <t>இந்த குழுவில் உங்கள் குழு என்ன செய்கிறது? (குழு ஒவ்வொரு செயலுக்கும் இந்த கேள்வியை கேளுங்கள்)</t>
  </si>
  <si>
    <t>குழுவாக ஒரு கோடு வரையப்பட்டதன் மூலம் இந்தச் செயலைச் செய்ய வேண்டும் என்று குழு குறிப்பிட்டுள்ளது. செயல்பாட்டை ஒரு திட வரிக்கு நகர்த்துவதற்கு எதை எடுக்கும்?</t>
  </si>
  <si>
    <t>இந்தக் குழுவில் குழுவிற்கு நீங்கள் எவ்வாறு பயிற்சி பெறலாம் அல்லது பயிற்சியாளராக இருக்க முடியும்? இதை நீங்கள் எப்போது செய்ய முடியும்?</t>
  </si>
  <si>
    <t>குழுவாகப் பணியாற்றும் செயல்பாடுகள் எந்த ஒரு தேவாலயமாக அடுத்ததாக ஆரம்பிக்கப்பட வேண்டும்?</t>
  </si>
  <si>
    <t>இது ஒரு முக்கியமான செயல்பாடு என்பதை குழுவிற்கு எப்படி உதவுவீர்கள்?</t>
  </si>
  <si>
    <t>இந்த செயல்பாட்டைச் செய்வதற்கு குழுவிற்கு உதவுவது எப்படி?</t>
  </si>
  <si>
    <t>குழு அல்லது குழுவின் சூழலைப் பற்றிய கூடுதல் தகவல், குழுவில் என்ன நடக்கிறது என்பதைப் புரிந்துகொள்ள உதவுகிறது?</t>
  </si>
  <si>
    <t>பிரிவு மூன்று:</t>
  </si>
  <si>
    <t>உங்கள் குழு என்ன செய்கிறதோ, அதைச் செய்யவில்லை என்பதைப் பார்க்கும்போது, ​​அடுத்த கட்டத்திற்கு (எ.கா. மூன்று மாதங்கள்) நீங்கள் கவனம் செலுத்த வேண்டிய மிக முக்கியமான இலக்கு (கள்) என்ன?</t>
  </si>
  <si>
    <t>இந்த இலக்கை நோக்கி உங்களை நகர்த்த என்ன நடவடிக்கைகள் எடுக்கலாம்? வேறு என்ன?</t>
  </si>
  <si>
    <t>இந்த பகுதியில் என்ன சவால்களை எதிர்கொள்கிறீர்கள்?</t>
  </si>
  <si>
    <t>இந்த சவால்களை சமாளிக்க நீங்கள் என்ன செய்ய முடியும்?</t>
  </si>
  <si>
    <t>நீங்கள் ஏற்கனவே என்ன முயற்சித்தீர்கள்? உங்கள் செயல்கள் என்ன வேறுபாடு செய்தன?</t>
  </si>
  <si>
    <t>யார் உங்களுக்கு உதவ முடியும்?</t>
  </si>
  <si>
    <t>வேறு எந்த ஆதாரங்களை நீங்கள் பயன்படுத்தலாம்?</t>
  </si>
  <si>
    <t>மற்றவர்கள் என்ன செய்ய வேண்டும் என்று நீங்கள் பார்த்திருக்கிறீர்கள்?</t>
  </si>
  <si>
    <t>அடுத்த காலகட்டத்தில் என்ன நடவடிக்கைகள் எடுக்க வேண்டும் (எ.கா. மூன்று மாதங்கள்)? அவற்றை வட்டமிடுங்கள் அல்லது அவர்களுக்கு அருகில் ஒரு நட்சத்திரம் அல்லது காசோலை குறி வைக்கவும்.</t>
  </si>
  <si>
    <t>எப்போது இந்த நடவடிக்கை நடவடிக்கைகளில் ஒவ்வொன்றும் எடுக்கும்?</t>
  </si>
  <si>
    <t>இந்த நடவடிக்கை நடவடிக்கைகளை நிறைவேற்ற உங்களுக்கு என்ன உதவ வேண்டும்? நடவடிக்கை நடவடிக்கைக்கு அடுத்த பெயர்களை எழுதுங்கள்.</t>
  </si>
  <si>
    <t>தலைமுறை வரைபட கருவியில் பிரிவு நான்கு, அடுத்த தலைமுறை பிரிவை நிரப்புகையில் கேட்கும் சாத்தியமான கேள்விகள்:</t>
  </si>
  <si>
    <t>அடுத்த தலைமுறை தலைவர்களை நீங்கள் எவ்வாறு பயிற்சி செய்கிறீர்கள்?</t>
  </si>
  <si>
    <t>உங்கள் பயிற்சி நன்றாக வேலை என்ன?</t>
  </si>
  <si>
    <t>இந்தத் தலைவர்களை பயிற்சி எடுப்பதற்கு உங்களுக்கு எங்கு உதவி தேவைப்படுகிறது?</t>
  </si>
  <si>
    <t>இந்த அடுத்த தலைமுறை குழுக்களில் குழுக்கள் என்ன செயல்பாடுகளை சிறப்பாக செய்கின்றன? அவர்கள் எங்கே போராடுகிறார்கள் அல்லது உதவி தேவை?</t>
  </si>
  <si>
    <t>ஒவ்வொரு தலைவருக்கும் குழுவுக்கு என்ன பயிற்சி தேவைப்படுகிறது?</t>
  </si>
  <si>
    <t>யார், இந்த பயிற்சி வழங்கப்படும்?</t>
  </si>
  <si>
    <t>நீங்கள் ஊக்குவிக்க, ஆதரவு, பிரார்த்தனை செய்ய, மற்றும் இந்த தலைவர்கள் பொறுப்பு நடத்த என்ன செய்கிறாய்?</t>
  </si>
  <si>
    <t>ஒவ்வொரு காலகட்டத்திலும் ஒவ்வொரு தலைமுறையுமே பயிற்சிக்காக உங்கள் குறிக்கோள் மற்றும் செயல் நடவடிக்கை என்ன (எ.கா. மூன்று மாதங்கள்)?</t>
  </si>
  <si>
    <t>జనరల్ మ్యాపింగ్ శిక్షణ</t>
  </si>
  <si>
    <t>హ్యాండ్అవుట్ 3: నమూనా కోచింగ్ ప్రశ్నలు</t>
  </si>
  <si>
    <t>నమూనా కోచింగ్ ప్రశ్నలు</t>
  </si>
  <si>
    <t>జనరల్ మాప్టింగ్ కోచింగ్ టూల్ సెక్షన్ వన్, ఆరోగ్యకరమైన గ్రూపు రేఖాచిత్రం, పూర్తిచేసినప్పుడు అడిగే సంభావ్య ప్రశ్నలు:</t>
  </si>
  <si>
    <t>సి</t>
  </si>
  <si>
    <t>విభాగం ఒకటి యొక్క టాప్:</t>
  </si>
  <si>
    <t>ఇప్పుడే మీ గుంపులో ఎంతమంది వ్యక్తులు హాజరయ్యారు?</t>
  </si>
  <si>
    <t>సమూహంలో విశ్వాసులు ఎంతమంది ఉన్నారు? చివరి కాలంలో ఎంతమంది విశ్వాసులయ్యారు (ఉదా. మూడు నెలల)?</t>
  </si>
  <si>
    <t>గుంపులో ఎంతమంది బాప్టిజం పొందినవారు? చివరి కాలంలో (ఉదా. మూడు నెలల) బాప్టిజం పొందిన విశ్వాసులెవరు?</t>
  </si>
  <si>
    <t>విభాగం ఒకటి కేంద్రం:</t>
  </si>
  <si>
    <t>సమూహం కట్టుబడి లేదా ఒక పూర్తిగా ఫంక్షనల్ కొత్త నిబంధన చర్చి మారింది కలిసి ఒప్పుకున్నాడు? అలా అయితే, వృత్తాన్ని దృ make ంగా చేయండి. లేకపోతే, వృత్తం చుక్కల వరుసగా ఉంచండి.</t>
  </si>
  <si>
    <t>క్రొత్త నిబంధన చర్చి యొక్క తొమ్మిది విధుల్లో ఏయే బయట సహాయం లేకుండా మీ గుంపు సభ్యులు క్రమ పద్ధతిలో ఉంటారు? చర్చి రైలు విధులు గుర్తించేటప్పుడు, పెద్ద వృత్తము లోపల ప్రతి ఫంక్షన్ సర్కిల్. పెద్ద సర్కిల్ వెలుపల ఉన్న వారిని సమూహంగా లేని వారిని సర్కిల్ చేసుకోవడమే కానీ ఈ ఫంక్షన్లో పాల్గొనడానికి మరో మార్గాన్ని కలిగి ఉండండి. ఈ ఫంక్షన్లో పాల్గొనడానికి సమూహంలోని సభ్యులకు ఎటువంటి సాధారణ మార్గాలు లేకుంటే బయటి పనితీరును సర్కిల్ చేయవద్దు.</t>
  </si>
  <si>
    <t>ఈ ఫంక్షన్ గుంపు ఎలా చేస్తుందో మీరు ఎంత సమర్థవంతంగా అంచనా వేస్తారు? ఆరోగ్యంగా పనిచేస్తే, వృత్తాకారంలోని వృత్తం ఘన గీతతో; సమూహం ఈ ఫంక్షన్లో పని చేయాల్సిన అవసరం ఉంటే, చుక్కల గీతతో చర్యను సర్కిల్ చేయండి.</t>
  </si>
  <si>
    <t>జనరేషన్ మ్యాపింగ్ కోచింగ్ టూల్ యొక్క సెక్షన్లు రెండు మరియు మూడు, వివరాలు మరియు లక్ష్య విభాగాలను పూర్తి చేసినప్పుడు అడిగే సంభావ్య ప్రశ్నలు:</t>
  </si>
  <si>
    <t>విభాగం రెండు:</t>
  </si>
  <si>
    <t>మీ గుంపు ఈ ఫంక్షన్ కోసం ఏం చేస్తోంది? (సమూహం చేస్తున్న ప్రతి ఫంక్షన్కు ఈ ప్రశ్నను అడగండి)</t>
  </si>
  <si>
    <t>గుద్దల గీతను గీయడం ద్వారా ఈ ఫంక్షన్లో గుంపు పెరుగుతుందని మీరు సూచించారు. ఫంక్షన్ ఘన రేఖకు తరలించడానికి ఏమి పడుతుంది?</t>
  </si>
  <si>
    <t>మీరు ఈ ఫంక్షన్లో మరింత ప్రభావవంతంగా ఉండటానికి సమూహాన్ని ఎలా శిక్షణ పొందవచ్చు లేదా కోచ్ చేయవచ్చు? మీరు దీన్ని ఎప్పుడు చేయగలరు?</t>
  </si>
  <si>
    <t>సమూహం సాధన చేయని విధుల్లో ఏవి చర్చిని పక్కన పెట్టాలి?</t>
  </si>
  <si>
    <t>సమూహం ఇది ఒక ముఖ్యమైన పని అని మీకు ఎలా తెలుసు?</t>
  </si>
  <si>
    <t>సమూహం ఈ ఫంక్షన్ చేయడం మొదలుపెట్టడానికి మీరు ఎలా ప్రారంభించాలి?</t>
  </si>
  <si>
    <t>సమూహం లేదా గుంపు సందర్భం గురించి అదనపు సమాచారం గుంపులో ఏమి జరుగుతుందో తెలుసుకోవడానికి సహాయపడుతుంది?</t>
  </si>
  <si>
    <t>విభాగం మూడు:</t>
  </si>
  <si>
    <t>మీ బృందం ఏమి చేస్తుందో లేదా చేయకపోవడాన్ని మీరు చూస్తే, తరువాతి కాలంలో (ఉదా. మూడు నెలలు) మీరు దృష్టి పెట్టవలసిన ముఖ్యమైన లక్ష్యం (లు) ఏమిటి?</t>
  </si>
  <si>
    <t>ఈ లక్ష్యాన్ని చేరుకోవడానికి మీరు ఏ చర్యలు తీసుకోవచ్చు? ఇంకేమి?</t>
  </si>
  <si>
    <t>మీరు ఈ ప్రాంతంలో ఏ సవాళ్లు ఎదుర్కొంటున్నారు?</t>
  </si>
  <si>
    <t>ఈ సవాళ్లను అధిగమించడానికి మీరు ఏమి చేయగలరు?</t>
  </si>
  <si>
    <t>మీరు ఇప్పటికే ఏమి ప్రయత్నించారు? మీ చర్యలు ఏ తేడా చేశాయి?</t>
  </si>
  <si>
    <t>మీకు ఎవరు సహాయం చేయగలరు?</t>
  </si>
  <si>
    <t>మీరు ఏ ఇతర వనరులను ఉపయోగించవచ్చు?</t>
  </si>
  <si>
    <t>మీరు ఇతరులు మీ కోసం పని చేస్తే ఏమి చూస్తారు?</t>
  </si>
  <si>
    <t>తరువాతి కాలంలో ఏ చర్యలు తీసుకుంటారు (ఉదా. మూడు నెలల)? వాటిని సర్కిల్ లేదా ఒక స్టార్ ఉంచండి లేదా వాటిని పక్కన తనిఖీ మార్క్.</t>
  </si>
  <si>
    <t>మీరు ఎప్పుడైనా ఈ ప్రతి చర్య దశలను తీసుకుంటారు?</t>
  </si>
  <si>
    <t>ఈ చర్య చర్యలను సాధించడంలో మీకు ఏది సహాయపడాలి? చర్య దశ పక్కన పేర్లు వ్రాయండి.</t>
  </si>
  <si>
    <t>జనరల్ మ్యాపింగ్ టూల్ యొక్క విభాగము నాలుగు, తరువాతి తరం విభాగాన్ని పూరించినప్పుడు అడిగే సంభావ్య ప్రశ్నలు:</t>
  </si>
  <si>
    <t>మీరు ఈ తరువాతి తరం నాయకులను కోచింగ్ చేస్తున్నారా?</t>
  </si>
  <si>
    <t>మీ కోచింగ్ లో ఏం బాగా పని చేస్తుంది?</t>
  </si>
  <si>
    <t>మీరు ఈ నాయకులను కోచింగ్లో ఎక్కడ సహాయం చేయాలి?</t>
  </si>
  <si>
    <t>ఈ తరువాతి తరానికి చెందిన సమూహాలలో సమూహాలు ఏవి? వారు ఎక్కడ పోరాడుతారు లేదా సహాయం అవసరం?</t>
  </si>
  <si>
    <t>ప్రతి నాయకుడికి మరియు బృందానికి ఏ శిక్షణ అవసరం?</t>
  </si>
  <si>
    <t>ఎవరు, ఈ శిక్షణ ఇవ్వబడుతుంది?</t>
  </si>
  <si>
    <t>ప్రోత్సాహించడానికి, మద్దతు ఇవ్వడానికి, ప్రార్ధించడానికి, మరియు ఈ నాయకులను జవాబుదారిపర్చడానికి మీరు ఏమి చేస్తున్నారు?</t>
  </si>
  <si>
    <t>తదుపరి దశలో మీరు ప్రతి నాయకుడికి కోచ్గా మీ లక్ష్యాలు మరియు చర్యలు ఏమిటి (ఉదా. మూడు నెలల)?</t>
  </si>
  <si>
    <t>ОБЩЕОБРАЗОВАТЕЛЬНОЕ ОБУЧЕНИЕ</t>
  </si>
  <si>
    <t>Раздаточный материал 3: Примеры вопросов коучинга</t>
  </si>
  <si>
    <t>Типовые вопросы коучинга</t>
  </si>
  <si>
    <t>Потенциальные вопросы, которые следует задавать при заполнении первого раздела, диаграммы здоровой группы инструментария для составления карт поколений:</t>
  </si>
  <si>
    <t>Верх первой части:</t>
  </si>
  <si>
    <t>Сколько людей посещают вашу группу сейчас?</t>
  </si>
  <si>
    <t>Сколько верующих в группе? Сколько стало верующих за последний период (например, три месяца)?</t>
  </si>
  <si>
    <t>Сколько крещеных верующих в группе? Сколько стало крещеных верующих за последний период (например, три месяца)?</t>
  </si>
  <si>
    <t>Центр первой секции:</t>
  </si>
  <si>
    <t>Собиралась ли группа или заключила завет вместе, чтобы стать полностью функциональной новозаветной церковью? Если это так, сделайте круг сплошным. Если нет, оставьте кружок пунктирной линией.</t>
  </si>
  <si>
    <t>Какие из девяти функций новозаветной церкви члены вашей группы практикуют на регулярной основе без посторонней помощи? Когда плантатор церкви определяет функции, обведите каждую функцию внутри большего круга. Обведите тех, кто находится за пределами большого круга, что группа не занимается самостоятельно, но у них есть другой способ участвовать в этой функции. Не обводите функцию снаружи, если члены группы не имеют регулярного способа участвовать в этой функции.</t>
  </si>
  <si>
    <t>Насколько эффективно вы оценили бы, как группа выполняет эту функцию? Если вы работаете правильно, обведите функцию в кружок сплошной линией; если группе нужно работать над этой функцией, обведите упражнение пунктирной линией.</t>
  </si>
  <si>
    <t>Потенциальные вопросы, которые следует задать при заполнении разделов 2 и 3, разделов «Подробности» и «Цели», в «Инструктивном инструменте картирования поколений»</t>
  </si>
  <si>
    <t>Раздел второй:</t>
  </si>
  <si>
    <t>Что ваша группа делает для этой функции? (Задайте этот вопрос для каждой функции, выполняемой группой)</t>
  </si>
  <si>
    <t>Вы указали, что для выполнения этой функции группа должна расти, рисуя пунктирную линию. Что потребуется, чтобы переместить функцию в сплошную линию?</t>
  </si>
  <si>
    <t>Как вы могли бы тренировать или тренировать группу, чтобы быть более эффективной в этой функции? Когда ты мог сделать это?</t>
  </si>
  <si>
    <t>Какие из функций, которые группа не выполняет, они должны начать, чтобы стать церковью?</t>
  </si>
  <si>
    <t>Как вы поможете группе узнать, что это важная функция?</t>
  </si>
  <si>
    <t>Как вы начнете помогать группе начать выполнять эту функцию?</t>
  </si>
  <si>
    <t>Какая дополнительная информация о группе или контексте группы помогает понять реальность того, что происходит в группе?</t>
  </si>
  <si>
    <t>Раздел третий:</t>
  </si>
  <si>
    <t>Когда вы посмотрите на то, что ваша группа делает или не делает, назовите (какие) наиболее важные цели, на которых вам необходимо сосредоточиться в течение следующего периода (например, три месяца)?</t>
  </si>
  <si>
    <t>Какие действия вы могли бы предпринять, чтобы продвинуться к этой цели? Что-то еще?</t>
  </si>
  <si>
    <t>С какими проблемами вы сталкиваетесь в этой области?</t>
  </si>
  <si>
    <t>Что вы могли бы сделать, чтобы преодолеть эти проблемы?</t>
  </si>
  <si>
    <t>Что ты уже пробовал? Какую разницу сделали ваши действия?</t>
  </si>
  <si>
    <t>Кто мог бы помочь вам?</t>
  </si>
  <si>
    <t>Какие еще ресурсы вы могли бы использовать?</t>
  </si>
  <si>
    <t>Что вы видели, что другие делают, что может работать на вас?</t>
  </si>
  <si>
    <t>Какие действия вы предпримете в следующем периоде (например, три месяца)? Обведите их или поставьте звездочку или галочку рядом с ними.</t>
  </si>
  <si>
    <t>Когда вы предпримете все эти действия?</t>
  </si>
  <si>
    <t>Кто должен делать то, что поможет вам выполнить эти действия? Запишите имена рядом с шагом действия.</t>
  </si>
  <si>
    <t>Потенциальные вопросы, которые следует задать при заполнении четвертого раздела, следующего поколения, инструмента картирования поколений:</t>
  </si>
  <si>
    <t>Как вы тренируете этих лидеров следующего поколения?</t>
  </si>
  <si>
    <t>Что хорошо работает в вашей тренировке?</t>
  </si>
  <si>
    <t>Где вам нужна помощь в обучении этих лидеров?</t>
  </si>
  <si>
    <t>Какие функции хорошо работают в группах следующего поколения? Где они борются или нуждаются в помощи?</t>
  </si>
  <si>
    <t>Какое обучение нужно каждому лидеру и группе?</t>
  </si>
  <si>
    <t>Кому и как будет проходить это обучение?</t>
  </si>
  <si>
    <t>Что вы делаете, чтобы поощрять, поддерживать, молиться и привлекать этих лидеров к ответственности?</t>
  </si>
  <si>
    <t>Каковы ваши цели и действия, когда вы тренируете каждого лидера в следующем периоде (например, три месяца)?</t>
  </si>
  <si>
    <t>Б.</t>
  </si>
  <si>
    <t>GENERATIIVNE KAUBAMINE KOOLITUS</t>
  </si>
  <si>
    <t>3. jaotis: juhendamise küsimused</t>
  </si>
  <si>
    <t>Näidiskoolituse küsimused</t>
  </si>
  <si>
    <t>Võimalikud küsimused põlvkonna kaardistamise juhendamise tööriista esimese osa, tervisliku rühma skeemi täitmisel:</t>
  </si>
  <si>
    <t>Ühe osa ülemine osa:</t>
  </si>
  <si>
    <t>Kui palju inimesi teie grupis praegu käivad?</t>
  </si>
  <si>
    <t>Mitu on usklikud grupis? Kui palju sai usklikeks viimasel perioodil (nt kolm kuud)?</t>
  </si>
  <si>
    <t>Kui palju on ristitud usklikud grupis? Kui palju sai ristitud usklikeks viimase perioodi jooksul (nt kolm kuud)?</t>
  </si>
  <si>
    <t>Esimese osa keskpunkt:</t>
  </si>
  <si>
    <t>Kas rühm on pühendunud või liitunud, et saada täielikult toimiva Uue Testamendi kirikuks? Kui jah, siis tehke ringi tugev. Kui ei, hoidke ringi katkendjoonena.</t>
  </si>
  <si>
    <t>Millised Uue Testamendi kiriku üheksast funktsioonist on teie grupi liikmed regulaarselt ilma välise abita? Kuna kiriku planeerija identifitseerib funktsioonid, ringi iga funktsioon suurema ringi sees. Pöörake need suurema ringi välisküljele, mida rühm ei harjuta iseseisvalt, kuid kellel on teine ​​võimalus selles funktsioonis osaleda. Ära ringi funktsiooni ringi, kui rühma liikmetel ei ole regulaarset võimalust selles funktsioonis osaleda.</t>
  </si>
  <si>
    <t>Kui efektiivselt hindate, kuidas rühm seda funktsiooni teeb? Tervislikult töötades pöörake ringi funktsioon kindla joonega; kui rühm vajab selle funktsiooni tööd, ringi tegevus katkendjoonega.</t>
  </si>
  <si>
    <t>Põlvkonna kaardistamise juhendamise tööriista kahe ja kolmanda lõigu, üksikasjade ja eesmärkide jaotise täitmisel küsitavad võimalikud küsimused:</t>
  </si>
  <si>
    <t>Teine osa:</t>
  </si>
  <si>
    <t>Milline on teie rühm selle funktsiooni nimel? (Küsi seda küsimust iga rühma funktsiooni kohta)</t>
  </si>
  <si>
    <t>Te märkisite, et grupp peab seda funktsiooni tehes kasvama katkendjoonega. Mida oleks vaja, et funktsiooni liigutada tahkele joonele?</t>
  </si>
  <si>
    <t>Kuidas saaksite rühma koolitada või treenida, et olla selle funktsiooni puhul tõhusam? Millal seda teha?</t>
  </si>
  <si>
    <t>Milliseid funktsioone, mida grupp ei harjuta, peaks alustama kirikuks?</t>
  </si>
  <si>
    <t>Kuidas te aitate grupil teada, et see on oluline funktsioon?</t>
  </si>
  <si>
    <t>Kuidas hakkate aitama grupil seda funktsiooni teha?</t>
  </si>
  <si>
    <t>Mis täiendavat teavet grupi või grupi konteksti kohta aitab mõista, mis on grupis toimuv?</t>
  </si>
  <si>
    <t>Kolmas osa:</t>
  </si>
  <si>
    <t>Kui vaatate, mida teie grupp teeb või ei tee, siis milline on (on) kõige olulisem eesmärk, mida peate järgmise perioodi (nt kolm kuud) jaoks keskenduma?</t>
  </si>
  <si>
    <t>Milliseid samme võiksite võtta, et ennast selle eesmärgi suunas liikuda? Mida veel?</t>
  </si>
  <si>
    <t>Millised väljakutsed selles valdkonnas on?</t>
  </si>
  <si>
    <t>Mida saaksite nende väljakutsete ületamiseks teha?</t>
  </si>
  <si>
    <t>Mida olete juba proovinud? Mis vahe oli teie tegevuses?</t>
  </si>
  <si>
    <t>Kes võiks sind aidata?</t>
  </si>
  <si>
    <t>Milliseid muid ressursse võiksite kasutada?</t>
  </si>
  <si>
    <t>Mida sa oled näinud teisi, mis teie jaoks võiksid toimida?</t>
  </si>
  <si>
    <t>Milliseid samme astute järgmisel perioodil (nt kolm kuud)? Ringistage neid või asetage nende kõrval täht või märk.</t>
  </si>
  <si>
    <t>Millal te võtate kõik need sammud?</t>
  </si>
  <si>
    <t>Kes peab tegema, et aidata teil neid samme astuda? Kirjutage nimed tegevusetapi kõrval.</t>
  </si>
  <si>
    <t>Võimalikud küsimused neljanda jaotise täitmiseks, põlvkonna kaardistamise tööriista järgmine põlvkond,:</t>
  </si>
  <si>
    <t>Kuidas juhendate neid järgmise põlvkonna juhte?</t>
  </si>
  <si>
    <t>Mis teie juhendamisel hästi toimib?</t>
  </si>
  <si>
    <t>Kust vajate abi nende juhtide juhendamisel?</t>
  </si>
  <si>
    <t>Millised funktsioonid on nendes järgmistes põlvkondades hästi toimivad rühmad? Kust nad võitlevad või vajavad abi?</t>
  </si>
  <si>
    <t>Millist koolitust iga juht ja rühm vajab?</t>
  </si>
  <si>
    <t>Kes ja kuidas seda koolitust antakse?</t>
  </si>
  <si>
    <t>Mida te teete, et julgustada, toetada, palvetada ja hoida neid juhte vastutavaks?</t>
  </si>
  <si>
    <t>Milline on sinu eesmärk ja sammud, kui te juhendate iga liidrit järgmisel perioodil (nt kolm kuud)?</t>
  </si>
  <si>
    <t>Document 3: Exemples de questions de coaching</t>
  </si>
  <si>
    <t>Exemples de questions de coaching</t>
  </si>
  <si>
    <t>Combien y a-t-il de croyants dans le groupe? Combien sont devenus croyants au cours de la dernière période (par exemple trois mois)?</t>
  </si>
  <si>
    <t>Combien y a-t-il de croyants baptisés dans le groupe? Combien sont devenus croyants baptisés au cours de la dernière période (par exemple trois mois)?</t>
  </si>
  <si>
    <t>Section deux:</t>
  </si>
  <si>
    <t>Quelles informations supplémentaires sur le groupe ou le contexte du groupe aident à comprendre la réalité de ce qui se passe dans le groupe?</t>
  </si>
  <si>
    <t>Section trois:</t>
  </si>
  <si>
    <t>Quels défis rencontrez-vous dans ce domaine?</t>
  </si>
  <si>
    <t>Que pourriez-vous faire pour surmonter ces défis?</t>
  </si>
  <si>
    <t>Qu'as-tu déjà essayé? Quelle différence ont fait vos actions?</t>
  </si>
  <si>
    <t>Qui pourrait vous aider?</t>
  </si>
  <si>
    <t>Quelles autres ressources pourriez-vous utiliser?</t>
  </si>
  <si>
    <t>Qu'est-ce qui fonctionne bien dans votre coaching?</t>
  </si>
  <si>
    <t>Où avez-vous besoin d'aide pour coacher ces leaders?</t>
  </si>
  <si>
    <t>ENFMASYON SOU GENERATIONAL MAPPING</t>
  </si>
  <si>
    <t>Feyè 3: Egzamen Kesyon Antrenè</t>
  </si>
  <si>
    <t>Egzamen Kondwi Kesyon</t>
  </si>
  <si>
    <t>Kesyon potansyèl yo mande Lè ranpli Out Seksyon Yon, Healthy Group Dyagram la, nan Zouti jenerasyonèl la Planifikasyon Coaching:</t>
  </si>
  <si>
    <t>Tèt Seksyon Youn:</t>
  </si>
  <si>
    <t>Konbyen moun ki ap patisipe nan gwoup ou an kounye a?</t>
  </si>
  <si>
    <t>Konbyen moun ki kwè nan gwoup la? Konbyen te vin kwayan nan peryòd ki sot pase a (eg twa mwa)?</t>
  </si>
  <si>
    <t>Konbyen kwayan yo batize nan gwoup la? Konbyen moun ki te batize ki te vin nan dènye peryòd (eg twa mwa)?</t>
  </si>
  <si>
    <t>Sant Seksyon Youn:</t>
  </si>
  <si>
    <t>Èske gwoup la angaje nan oswa fè antant ansanm yo vin yon konplètman fonksyonèl legliz Nouvo Testaman? Si se konsa, fè sèk la solid. Si ou pa, kenbe sèk la kòm yon liy an tirè.</t>
  </si>
  <si>
    <t>Kilès nan nèf fonksyon yo nan yon legliz Nouvo Testaman yo se manm gwoup ou pratike sou yon baz regilye san okenn èd deyò? Kòm kachèt legliz la idantifye fonksyon yo, fè wonn chak fonksyon anndan sèk ki pi gwo a. Fè yon ti wonn sou sa ki sou deyò nan pi gwo sèk la ke gwoup la pa pratike sou pwòp yo, men yo gen yon lòt fason yo patisipe nan fonksyon sa a. Pa fè yon ti wonn sou fonksyon an sou deyò si manm gwoup la pa gen okenn fason regilye pou patisipe nan fonksyon sa a.</t>
  </si>
  <si>
    <t>Ki efikas ou ta evalye jan gwoup la ap fè fonksyon sa a? Si fonksyone sensèman, sèkle fonksyon ki nan sèk la avèk yon liy solid; si gwoup la bezwen travay sou fonksyon sa a, sèkle aktivite a ak yon liy an tirè.</t>
  </si>
  <si>
    <t>Kesyon potansyèl yo mande lè ranpli deyò Seksyon De ak twa, Detay ak objektif seksyon, nan Zouti jenerasyonèl la Planifye Coaching:</t>
  </si>
  <si>
    <t>Seksyon De:</t>
  </si>
  <si>
    <t>Ki sa ki gwoup ou ap fè pou fonksyon sa a? (Poze kesyon sa a pou chak fonksyon gwoup la ap fè)</t>
  </si>
  <si>
    <t>Ou endike ke gwoup la bezwen grandi nan fè fonksyon sa a pa fè desen yon liy an tirè. Ki sa ki ta li pran pou avanse pou pi fonksyon an nan yon liy solid?</t>
  </si>
  <si>
    <t>Ki jan ou ta ka antrene oswa antrene gwoup la yo dwe pi efikas nan fonksyon sa a? Kilè ou ka fè sa?</t>
  </si>
  <si>
    <t>Kilès nan fonksyon yo ke gwoup la pa pratike yo ta dwe kòmanse pwochen yo vin yon legliz?</t>
  </si>
  <si>
    <t>Kijan ou pral ede gwoup la konnen ke se yon fonksyon enpòtan?</t>
  </si>
  <si>
    <t>Kijan ou pral kòmanse ede gwoup la kòmanse fè fonksyon sa a?</t>
  </si>
  <si>
    <t>Ki plis enfòmasyon sou gwoup la oswa kontèks gwoup la ede konprann reyalite a nan sa k ap pase nan gwoup la?</t>
  </si>
  <si>
    <t>Seksyon Twa:</t>
  </si>
  <si>
    <t>Pandan w ap gade sa ki fè gwoup ou an ap fè oswa ki pa fè sa, ki sa ki (se) objektif ki pi enpòtan (yo) ke ou bezwen konsantre sou pou peryòd nan pwochen (eg twa mwa)?</t>
  </si>
  <si>
    <t>Ki aksyon etap ou ta ka pran pou avanse pou pi tèt ou nan direksyon objektif sa a? Kisa ankò?</t>
  </si>
  <si>
    <t>Ki sa ki defi ou fè fas a nan zòn sa a?</t>
  </si>
  <si>
    <t>Ki sa ou ta ka fè simonte sa yo defi?</t>
  </si>
  <si>
    <t>Kisa ou te eseye deja? Ki diferans ki fè aksyon ou yo te fè?</t>
  </si>
  <si>
    <t>Ki moun ki ka ede ou?</t>
  </si>
  <si>
    <t>Ki lòt resous ou ka itilize?</t>
  </si>
  <si>
    <t>Kisa ou wè lòt moun fè sa ki ta ka travay pou ou?</t>
  </si>
  <si>
    <t>Ki etap aksyon ou pral pran nan peryòd kap vini la (pa egzanp twa mwa)? Fè yon ti wonn sou yo oswa mete yon etwal oswa make tch la akote yo.</t>
  </si>
  <si>
    <t>Pa lè ou pral pran chak nan etap sa yo aksyon?</t>
  </si>
  <si>
    <t>Ki moun ki bezwen fè sa ki ka ede ou akonpli etap sa yo aksyon? Ekri non yo desann pwochen etap la aksyon.</t>
  </si>
  <si>
    <t>Kesyon potansyèl yo mande lè ranpli deyò Seksyon Kat, seksyon nan pwochen jenerasyon, nan Zouti nan kat jenerasyonèl:</t>
  </si>
  <si>
    <t>Kijan ou antrenè lidè pwochen jenerasyon sa yo?</t>
  </si>
  <si>
    <t>Kisa k ap travay byen nan antrenè ou a?</t>
  </si>
  <si>
    <t>Ki kote ou bezwen èd nan antrenè lidè sa yo?</t>
  </si>
  <si>
    <t>Ki fonksyon gwoup yo ap mache byen nan gwoup jenerasyon kap vini yo? Ki kote yo lite oswa bezwen èd?</t>
  </si>
  <si>
    <t>Ki fòmasyon chak lidè ak gwoup bezwen?</t>
  </si>
  <si>
    <t>Kiyès ak kijan yo pral bay fòmasyon sa a?</t>
  </si>
  <si>
    <t>Kisa wap fè pou ankouraje, sipòte, priye pou epi kenbe lidè sa yo responsab?</t>
  </si>
  <si>
    <t>Ki objektif ou ak etap aksyon yo pandan wap antrene chak lidè nan peryòd kap vini (eg twa mwa)?</t>
  </si>
  <si>
    <t>一般的なマッピングトレーニング</t>
  </si>
  <si>
    <t>配布資料3：コーチングに関する質問のサンプル</t>
  </si>
  <si>
    <t>サンプルコーチングの質問</t>
  </si>
  <si>
    <t>世代マッピング・コーチング・ツールのセクション1、健全なグループ図に記入するときに尋ねるべき潜在的な質問：</t>
  </si>
  <si>
    <t>1。</t>
  </si>
  <si>
    <t>2。</t>
  </si>
  <si>
    <t>3。</t>
  </si>
  <si>
    <t>4。</t>
  </si>
  <si>
    <t>5。</t>
  </si>
  <si>
    <t>6。</t>
  </si>
  <si>
    <t>7。</t>
  </si>
  <si>
    <t>8。</t>
  </si>
  <si>
    <t>9。</t>
  </si>
  <si>
    <t>10。</t>
  </si>
  <si>
    <t>11。</t>
  </si>
  <si>
    <t>セクション1のトップ：</t>
  </si>
  <si>
    <t>現在あなたのグループには何人の人が参加していますか？</t>
  </si>
  <si>
    <t>グループの信者は何人ですか？ 最後の期間（例えば3ヶ月）に何人が信者になりましたか？</t>
  </si>
  <si>
    <t>バプテスマを受けた信者たちはそのグループに何人いますか。 最後の期間（例えば3ヶ月）にバプテスマを受けた信者は何人になりましたか。</t>
  </si>
  <si>
    <t>セクション1の中心：</t>
  </si>
  <si>
    <t>グループは、完全に機能する新約聖書教会になることを約束し、あるいは共に契約しましたか？ もしそうなら、円を実線にします。 そうでない場合は、円を破線のようにします。</t>
  </si>
  <si>
    <t>新約聖書教会の9つの機能のうち、あなたのグループのメンバーは、外部からの助けを借りずに定期的に練習していますか？ 教会のプランターが機能を識別したら、より大きな円の内側に各機能を丸で囲みます。 グループが自分で練習しているのではなく、この機能に参加するための別の方法があるという、より大きな円の外側にあるものに丸を付けます。 グループのメンバーがこの機能に参加するための定期的な方法がない場合は、機能の外側に丸を付けないでください。</t>
  </si>
  <si>
    <t>グループがこの機能をどのように実行しているか、どの程度評価できますか。 正常に機能している場合は、円の中の機能を実線で囲みます。 グループがこの機能に取り組む必要がある場合は、アクティビティを破線で囲みます。</t>
  </si>
  <si>
    <t>世代別マッピング・コーチング・ツールのセクション2および3、詳細および目標のセクションに記入するときに尋ねられる可能性のある質問：</t>
  </si>
  <si>
    <t>セクション2：</t>
  </si>
  <si>
    <t>あなたのグループはこの機能のために何をしていますか？ （グループが行っている各機能についてこの質問をしてください）</t>
  </si>
  <si>
    <t>あなたは、破線を描くことによって、この機能を果たすためにグループが成長する必要があることを示しました。 関数を実線に移動するためには何が必要ですか？</t>
  </si>
  <si>
    <t>この機能をより効果的にするためにどのようにグループを訓練または指導できますか。 いつできますか。</t>
  </si>
  <si>
    <t>グループが練習していない機能のうち、教会になるために次に始めるべき機能はどれですか。</t>
  </si>
  <si>
    <t>これが重要な機能であることをグループがどのように知るのを手助けしますか。</t>
  </si>
  <si>
    <t>どのようにしてグループがこの機能を果たし始めるのを手助けしますか？</t>
  </si>
  <si>
    <t>グループまたはグループのコンテキストに関する追加情報は、グループで何が起こっているのかという現実を理解するのに役立ちますか？</t>
  </si>
  <si>
    <t>セクション3：</t>
  </si>
  <si>
    <t>あなたのグループが何をしているのか、あるいはしていないのかを見るとき、あなたが次の期間（例えば3ヶ月）に焦点を合わせる必要がある最も重要な目標は何ですか？</t>
  </si>
  <si>
    <t>この目標に向かって自分自身を動かすためにあなたはどのような行動をとることができますか？ ほかに何か？</t>
  </si>
  <si>
    <t>この分野ではどのような課題に直面していますか？</t>
  </si>
  <si>
    <t>あなたはこれらの課題を克服するために何ができるでしょうか？</t>
  </si>
  <si>
    <t>あなたはもう何を試しましたか？ あなたの行動はどう変わりましたか？</t>
  </si>
  <si>
    <t>誰があなたを助けることができますか？</t>
  </si>
  <si>
    <t>他にどのようなリソースを使うことができますか？</t>
  </si>
  <si>
    <t>他の人があなたのために働くかもしれないことをあなたは何を見ましたか？</t>
  </si>
  <si>
    <t>次の期間（例えば3ヶ月）にあなたはどのような行動をとるでしょうか？ それらを丸で囲むか、星またはチェックマークをそれらの隣に置きます。</t>
  </si>
  <si>
    <t>あなたはいつこれらの行動ステップのそれぞれを取るのですか？</t>
  </si>
  <si>
    <t>誰があなたがこれらの行動ステップを達成するのを助けるために何をする必要がありますか？ アクションステップの隣に名前を書き留めます。</t>
  </si>
  <si>
    <t>世代マッピング・ツールの第4世代、次世代のセクションに記入するときに尋ねるべき潜在的な質問：</t>
  </si>
  <si>
    <t>これらの次世代リーダーをどのように指導していますか？</t>
  </si>
  <si>
    <t>コーチングで何がうまくいっていますか？</t>
  </si>
  <si>
    <t>これらの指導者を指導する上でどこで援助が必要ですか。</t>
  </si>
  <si>
    <t>これらの次世代グループでは、グループはどのような機能を果たしていますか？ 彼らはどこで奮闘したり助けを必要としたりしますか？</t>
  </si>
  <si>
    <t>各リーダーとグループはどのようなトレーニングを必要としますか？</t>
  </si>
  <si>
    <t>誰とどのようにこのトレーニングは与えられるのでしょうか？</t>
  </si>
  <si>
    <t>これらの指導者を励まし、支持し、祈り、そして説明責任を果たすためにあなたは何をしていますか？</t>
  </si>
  <si>
    <t>次の期間（例：3ヶ月）に各リーダーを指導するときのあなたの目標と行動のステップは何ですか？</t>
  </si>
  <si>
    <t>일반 매핑 교육</t>
  </si>
  <si>
    <t>유인물 3 : 코칭 질문 샘플</t>
  </si>
  <si>
    <t>샘플 코칭 질문</t>
  </si>
  <si>
    <t>세대 매핑 코칭 도구의 섹션 1, 건강한 그룹 다이어그램 작성시 묻는 잠재적 질문 :</t>
  </si>
  <si>
    <t>에이.</t>
  </si>
  <si>
    <t>비.</t>
  </si>
  <si>
    <t>기음.</t>
  </si>
  <si>
    <t>섹션 1의 상단 :</t>
  </si>
  <si>
    <t>현재 얼마나 많은 사람들이 귀하의 그룹에 참석하고 있습니까?</t>
  </si>
  <si>
    <t>얼마나 많은 사람들이 그룹에 있습니까? 지난 기간 (예, 3 개월)에 신자가 된 사람은 몇이나 되었습니까?</t>
  </si>
  <si>
    <t>얼마나 많은 사람들이 그룹에서 침례를받은 신자입니까? 마지막 기간 (예, 3 개월)에 세례받은 신자는 몇이나 되었습니까?</t>
  </si>
  <si>
    <t>섹션 1의 센터 :</t>
  </si>
  <si>
    <t>그룹이 완전한 기능을 갖춘 신약 교회가되기 위해 함께 약속했거나 성약 했는가? 그렇다면 원을 단색으로 만듭니다. 그렇지 않은 경우 원을 파선으로 유지합니다.</t>
  </si>
  <si>
    <t>신약 교회의 9 가지 기능 중 어느 것이 외부의 도움없이 정기적으로 실천하는 집단 구성원입니까? 교회 개척자가 기능을 식별함에 따라 더 큰 원 안에 각 기능을 동그라미하십시오. 그룹이 스스로 연습하지는 않지만 더 큰 원의 바깥쪽에 동그라미하지만이 기능에 참여하는 또 다른 방법이 있습니다. 그룹의 구성원이이 기능에 정기적으로 참여할 수없는 경우 외부에 기능을 동그라미로 표시하지 마십시오.</t>
  </si>
  <si>
    <t>그룹이이 기능을 어떻게 수행하는지 평가하는 것이 얼마나 효과적입니까? 건강하게 기능하는 경우, 실선으로 표시된 함수를 실선으로 표시하십시오. 그룹이이 기능에 대해 작업해야하는 경우 활동을 점선으로 표시하십시오.</t>
  </si>
  <si>
    <t>세대 매핑 코칭 도구의 섹션 2 및 세, 세부 정보 및 목표 섹션을 채울 때 묻는 잠재적 질문 :</t>
  </si>
  <si>
    <t>섹션 2 :</t>
  </si>
  <si>
    <t>이 기능을 위해 귀하의 그룹은 무엇을하고 있습니까? (그룹이하는 각 기능에 대해이 질문을하십시오)</t>
  </si>
  <si>
    <t>당신은 점선을 그려이 기능을 수행 할 때 그룹의 성장이 필요하다는 것을 나타 냈습니다. 함수를 실선으로 옮기려면 무엇이 필요합니까?</t>
  </si>
  <si>
    <t>이 기능을 효과적으로 발휘하기 위해 그룹을 훈련 시키거나 코치 할 수 있습니까? 언제 이걸 할 수 있니?</t>
  </si>
  <si>
    <t>그 그룹이 교회가되기 위해 다음에 시작해야 할 일은 무엇인가?</t>
  </si>
  <si>
    <t>그룹이 이것이 중요한 기능임을 알도록 어떻게 도울 것입니까?</t>
  </si>
  <si>
    <t>그룹이이 기능을 수행하는 것을 어떻게 시작할 것입니까?</t>
  </si>
  <si>
    <t>그룹 또는 그룹의 컨텍스트에 대한 추가 정보는 그룹에서 일어나는 일의 실제를 이해하는 데 도움이됩니까?</t>
  </si>
  <si>
    <t>섹션 3 :</t>
  </si>
  <si>
    <t>그룹이하고있는 일이나하지 않는 일을 살펴볼 때, 다음 기간 (예 : 3 개월) 동안 집중해야 할 가장 중요한 목표는 무엇입니까?</t>
  </si>
  <si>
    <t>이 목표를 향해 나아 가기 위해 취할 수있는 조치는 무엇입니까? 또 뭐야?</t>
  </si>
  <si>
    <t>이 분야에서 직면 한 도전은 무엇입니까?</t>
  </si>
  <si>
    <t>이러한 어려움을 극복하기 위해 당신은 무엇을 할 수 있습니까?</t>
  </si>
  <si>
    <t>당신은 이미 무엇을 시도 했습니까? 당신의 행동이 어떤 차이를 만들었습니까?</t>
  </si>
  <si>
    <t>누가 너를 도울 수 있니?</t>
  </si>
  <si>
    <t>어떤 다른 리소스를 사용할 수 있습니까?</t>
  </si>
  <si>
    <t>다른 사람들이 당신을 위해 일할 수있는 것을 무엇을 보았습니까?</t>
  </si>
  <si>
    <t>다음 기간 (예 : 3 개월)에 취할 조치는 무엇입니까? 원을 그리거나 옆에 별표 또는 확인 표시를하십시오.</t>
  </si>
  <si>
    <t>언제 각 단계를 취할 것입니까?</t>
  </si>
  <si>
    <t>누가 이러한 조치 단계를 수행하는 데 도움이되도록해야합니까? 작업 단계 옆에 이름을 적으십시오.</t>
  </si>
  <si>
    <t>생성 맵핑 도구의 차세대 섹션 인 섹션 4를 작성시 묻는 잠재적 질문 :</t>
  </si>
  <si>
    <t>차세대 지도자들을 어떻게지도하고 있습니까?</t>
  </si>
  <si>
    <t>코칭에서 어떤 점이 효과가 있습니까?</t>
  </si>
  <si>
    <t>이 지도자들을지도하는 데 도움이 필요한 곳은 어디입니까?</t>
  </si>
  <si>
    <t>이 차세대 그룹에서 잘 수행하는 그룹의 기능은 무엇입니까? 그들은 투쟁하거나 도움이 필요한 곳은 어디입니까?</t>
  </si>
  <si>
    <t>각 지도자와 그룹은 어떤 교육을 필요로합니까?</t>
  </si>
  <si>
    <t>누가 그리고 어떻게이 훈련을 받게 될 것인가?</t>
  </si>
  <si>
    <t>이 지도자들을 격려하고, 지원하고,기도하고, 책임을지게하기 위해 무엇을하고 있습니까?</t>
  </si>
  <si>
    <t>다음 기간 (예 : 3 개월)에 각 지도자를지도 할 때 목표와 실천 단계는 무엇입니까?</t>
  </si>
  <si>
    <t>Desde</t>
  </si>
  <si>
    <t>carné de identidad</t>
  </si>
  <si>
    <t>(sección 2)</t>
  </si>
  <si>
    <t>Use el espacio provisto para entrenar al líder sobre cómo se está alentando y desarrollando la próxima generación. Si necesita más espacio, puede usar más papel.</t>
  </si>
  <si>
    <t>Agregue ideas de cómo hacer nuevos progresos y discernir la guía del Espíritu Santo en el próximo período.</t>
  </si>
  <si>
    <t>सेवा मेरे</t>
  </si>
  <si>
    <t>से और "से" (प्रपत्र पर डेटा के लिए समय अवधि) और "एकत्र" (कोचिंग सत्र की तारीख) लेबल वाले बक्से में दिनांक दर्ज करें।</t>
  </si>
  <si>
    <t>आईडी</t>
  </si>
  <si>
    <t>समूह में दर्ज विशिष्ट पहचान संख्या या कोड दर्ज करें।</t>
  </si>
  <si>
    <t>समूह मेट्रिक्स</t>
  </si>
  <si>
    <t>बक्से की शीर्ष पंक्ति में, प्रत्येक प्रतीक के तहत बॉक्स में प्रत्येक श्रेणी के लिए संख्या रिकॉर्ड करें।</t>
  </si>
  <si>
    <t>यदि आपका समूह अतिरिक्त कस्टम परिभाषित श्रेणियां रिकॉर्ड कर रहा है, तो केवल बॉक्स की दूसरी पंक्ति का उपयोग करें। निर्दिष्ट श्रेणी के ऊपर बॉक्स में प्रत्येक श्रेणी को रिकॉर्ड करें।</t>
  </si>
  <si>
    <t>समूह कार्य</t>
  </si>
  <si>
    <t>लेबल के रूप में इस अनुभाग के निचले भाग के बक्सों को भरें। सावधानीपूर्वक सटीकता बाद में संदर्भ के लिए जानकारी को एक साथ रखती है। यह इस समूह के अन्य समूहों से संबंध को भी दर्शाता है। यह जानकारी कोचिंग सत्र से पहले भरी जा सकती है।</t>
  </si>
  <si>
    <t>प्रतीक के बगल में अंतरिक्ष में नोट्स जोड़ें जो समूह के उस फ़ंक्शन के बारे में अधिक विवरण प्रदान करता है। आपको हर स्थान का उपयोग करने की आवश्यकता नहीं हो सकती है।</t>
  </si>
  <si>
    <t>मध्य स्तंभ में, प्रत्येक क्रिया चरण के लिए पूर्णता तिथि जोड़ें।</t>
  </si>
  <si>
    <t>सही कॉलम में, उन लोगों को सूचीबद्ध करें जिन्हें आप मदद करने के लिए कह सकते हैं, जिन सामग्रियों की आपको आवश्यकता होगी, और अन्य चीजें जो कार्रवाई कदम को पूरा करने में मदद कर सकती हैं।</t>
  </si>
  <si>
    <t>नेता को कोच बनाने के लिए प्रदान की गई जगह का उपयोग करें कि कैसे अगली पीढ़ी को प्रोत्साहित और विकसित किया जा रहा है। यदि आपको अधिक स्थान की आवश्यकता है, तो आप अधिक कागज का उपयोग कर सकते हैं।</t>
  </si>
  <si>
    <t>बड़े बॉक्स में, इस कोचिंग सत्र में नेता के रूप में सूचीबद्ध होने से बेटी के नेता और समूह को प्रोत्साहित करने, चुनौती देने और छोड़ने में मदद मिल सकती है। बेटी समूह के लिए निर्णय या प्राथमिकताएं न लें।</t>
  </si>
  <si>
    <t>अगली समय अवधि में पवित्र आत्मा की अगुवाई करने के लिए नई प्रगति करने और विचार करने के तरीके के विचारों को जोड़ें।</t>
  </si>
  <si>
    <t>De</t>
  </si>
  <si>
    <t>Para</t>
  </si>
  <si>
    <t>Coletado</t>
  </si>
  <si>
    <t>Métricas do grupo</t>
  </si>
  <si>
    <t>Na linha superior de caixas, registre o número de cada categoria na caixa abaixo de cada símbolo.</t>
  </si>
  <si>
    <t>Use a segunda linha de caixas apenas se o seu grupo estiver gravando categorias adicionais personalizadas. Registre cada categoria na caixa acima do número atribuído.</t>
  </si>
  <si>
    <t>Funções do grupo</t>
  </si>
  <si>
    <t>Adicione notas no espaço ao lado do símbolo que fornecem mais detalhes sobre essa função do grupo. Você pode não precisar usar todos os espaços.</t>
  </si>
  <si>
    <t>Na coluna do meio, adicione uma data de conclusão para cada etapa de ação.</t>
  </si>
  <si>
    <t>Na coluna da direita, liste as pessoas que você pode pedir para ajudar, os materiais de que precisará e outras coisas que podem ajudar a concluir a etapa de ação.</t>
  </si>
  <si>
    <t>Use o espaço fornecido para orientar o líder sobre como a próxima geração está sendo incentivada e desenvolvida. Se você precisar de mais espaço, poderá usar mais papel.</t>
  </si>
  <si>
    <t>Na caixa maior, liste como o líder que está sendo treinado nesta sessão de coaching pode ajudar a incentivar, desafiar e libertar o líder e o grupo da filha. Não tome decisões ou prioridades para o grupo de filhas.</t>
  </si>
  <si>
    <t>আইডি</t>
  </si>
  <si>
    <t>গ্রুপ ফাংশন</t>
  </si>
  <si>
    <t>செய்ய</t>
  </si>
  <si>
    <t>முதல் மற்றும் "முதல்" என பெயரிடப்பட்ட பெட்டிகளில் தேதிகளை உள்ளிடவும் (படிவத்தில் உள்ள தரவுகளுக்கான காலம்) மற்றும் "சேகரிக்கப்பட்டவை" (பயிற்சி அமர்வின் தேதி.)</t>
  </si>
  <si>
    <t>ஐடி</t>
  </si>
  <si>
    <t>தலைமுறை வரைபட பயிற்சி கருவி ஒரு குழுவின் சுகாதார மற்றும் செயல்பாடுகளை பற்றி பயிற்சி அமர்வு விவரங்களை பதிவு செய்ய ஒரு இடம் ஆகும். விவரங்கள் பொதுவாக மூன்று மாத காலத்தை (ஆண்டின் கால் பகுதி) குறிக்கும் ஒரு காலத்திலிருந்து. இது முதல் மாதத்தின் தொடக்கத்திலிருந்து மூன்றாம் மாதத்தின் இறுதி வரை.</t>
  </si>
  <si>
    <t>குழு அளவீடுகள்</t>
  </si>
  <si>
    <t>பெட்டிகளின் மேல் வரிசையில், ஒவ்வொரு குறியீட்டின் கீழ் ஒவ்வொரு பிரிவிற்கும் உள்ள எண்ணை பதிவு செய்யவும்.</t>
  </si>
  <si>
    <t>இந்த காலகட்டத்தில் குழுவில் புதிய விசுவாசிகள்</t>
  </si>
  <si>
    <t>இந்த காலகட்டத்தில் குழுவில் புதிதாக ஞானஸ்நானம் பெற்றார்</t>
  </si>
  <si>
    <t>உங்கள் குழு கூடுதல் விருப்ப வரையறுக்கப்பட்ட வகைகளை பதிவு செய்தால் மட்டுமே பெட்டிகளின் இரண்டாவது வரிசையைப் பயன்படுத்தவும். ஒதுக்கப்பட்டுள்ள எண்ணுக்கு மேலே உள்ள ஒவ்வொரு பிரிவிலும் பதிவு செய்யுங்கள்.</t>
  </si>
  <si>
    <t>குழு பணிகள்</t>
  </si>
  <si>
    <t>நீங்கள் உருவாக்கிக்கொண்டிருக்கும் அல்லது செய்யக்கூடிய செயல்பாடுகளுக்கு ஒரு கோடுடன் குறியீட்டை வட்டமிடுங்கள், ஆனால் உண்மையில் இந்த குறிப்பிட்ட காலத்தில் செய்யவில்லை.</t>
  </si>
  <si>
    <t>குழு சொந்தமாக பங்கேற்கவில்லை என்றால் பெரிய வட்டத்திற்கு வெளியே சின்னத்தை வட்டமிடுங்கள், ஆனால் இந்த செயல்பாட்டில் பங்கேற்க மற்றொரு வழி இருக்கிறது.</t>
  </si>
  <si>
    <t>குழுவின் செயல்பாட்டைப் பற்றி மேலும் விவரங்களை வழங்குவதற்கான குறியீட்டுக்கு அடுத்த இடத்திலுள்ள குறிப்புகளைச் சேர்க்கவும். நீங்கள் ஒவ்வொரு இடத்தையும் பயன்படுத்த வேண்டிய அவசியமில்லை.</t>
  </si>
  <si>
    <t>இடது நெடுவரிசையில் செயல் படிகளை பட்டியலிடுங்கள்.</t>
  </si>
  <si>
    <t>சரியான நெடுவரிசையில், நீங்கள் உதவக் கேட்கக்கூடிய நபர்கள், உங்களுக்குத் தேவையான பொருட்கள் மற்றும் செயல் படி முடிக்க உதவும் பிற விஷயங்களை பட்டியலிடுங்கள்.</t>
  </si>
  <si>
    <t>அடுத்த தலைமுறை எவ்வாறு ஊக்கமளித்து வளர்ச்சியடைகிறது என்பதைப் பற்றி தலைமை பயிற்சியாளருக்கு வழங்கப்படும் இடத்தை பயன்படுத்தவும். உங்களுக்கு அதிக இடம் தேவைப்பட்டால், மேலும் காகிதத்தை நீங்கள் பயன்படுத்தலாம்.</t>
  </si>
  <si>
    <t>நிறுவப்பட்ட மகள் தேவாலயங்கள் இருக்கும்போது:</t>
  </si>
  <si>
    <t>பெரிய பெட்டியில், இந்த பயிற்சி அமர்வில் தலைவர் பயிற்றுவிக்கப்பட்ட வழிகளை பட்டியலிடுங்கள் மகளின் தலைவரையும் குழுவையும் ஊக்குவிக்கவும், சவால் செய்யவும், விடுவிக்கவும் உதவும். மகளிர் குழுவிற்கான முடிவுகளை அல்லது முன்னுரிமைகள் செய்ய வேண்டாம்.</t>
  </si>
  <si>
    <t>பயிற்சி குறிப்புகள் செய்யப்பட்டால், அவை ரகசியமானவை, மற்றவர்களால் பார்க்கப்படாமல் பாதுகாக்கப்பட வேண்டும்.</t>
  </si>
  <si>
    <t>టు</t>
  </si>
  <si>
    <t>ఈ లక్ష్యం లేదా లక్ష్యాలను సాధించడానికి నేను ఏ చర్యలు తీసుకోవాలి?</t>
  </si>
  <si>
    <t>(పై 3 పెట్టెల్లో తేదీలను నమోదు చేయండి)</t>
  </si>
  <si>
    <t>ఐడి</t>
  </si>
  <si>
    <t>సమూహానికి కేటాయించిన ప్రత్యేక గుర్తింపు సంఖ్య లేదా కోడ్‌ను నమోదు చేయండి.</t>
  </si>
  <si>
    <t>గుంపు కొలమానాలు</t>
  </si>
  <si>
    <t>బాక్సుల ఎగువ వరుసలో, ప్రతి గుర్తు క్రింద పెట్టెలోని ప్రతి వర్గానికి సంఖ్యను రికార్డ్ చేయండి.</t>
  </si>
  <si>
    <t>ఈ కాలంలో సమూహంలో కొత్తగా బాప్తిస్మం తీసుకున్నారు</t>
  </si>
  <si>
    <t>మీ సమూహం అదనపు అనుకూల నిర్వచించిన వర్గాలను రికార్డ్ చేస్తుంటే మాత్రమే రెండవ వరుస బాక్సులను ఉపయోగించండి. కేటాయించిన సంఖ్య పైన ఉన్న పెట్టెలో ప్రతి వర్గాన్ని రికార్డ్ చేయండి.</t>
  </si>
  <si>
    <t>సమూహం విధులు</t>
  </si>
  <si>
    <t>సమూహం చర్చిగా కలిసి కట్టుబడి ఉంటే దృ line మైన గీతను ఉపయోగించండి.</t>
  </si>
  <si>
    <t>ప్రతి ఫంక్షన్ కోసం ఒక చిహ్నం చుట్టూ చిన్న వృత్తాన్ని గీయండి.</t>
  </si>
  <si>
    <t>ఈ ఫంక్షన్‌లో పాల్గొనడానికి సమూహంలోని సభ్యులకు క్రమమైన మార్గం లేకపోతే చిహ్నాన్ని సర్కిల్ చేయవద్దు.</t>
  </si>
  <si>
    <t>లేబుల్ చేయబడిన ఈ విభాగానికి దిగువ ఉన్న పెట్టెల్లో పూరించండి. జాగ్రత్తగా ఖచ్చితత్వం తరువాత సూచన కోసం సమాచారాన్ని కలిసి ఉంచుతుంది. ఇది ఇతర సమూహాలకు ఈ గుంపు యొక్క కనెక్షన్‌ను కూడా చూపిస్తుంది. కోచింగ్ సెషన్కు ముందు ఈ సమాచారాన్ని పూరించవచ్చు.</t>
  </si>
  <si>
    <t>సమూహం యొక్క ఆ ఫంక్షన్ గురించి మరింత వివరంగా అందించే గుర్తు పక్కన ఉన్న స్థలంలో గమనికలను జోడించండి. మీరు ప్రతి స్థలాన్ని ఉపయోగించకూడదు.</t>
  </si>
  <si>
    <t>విభిన్న విధులను పోల్చడానికి మీరు సంఖ్యా వ్యవస్థను ఉపయోగించవచ్చు.</t>
  </si>
  <si>
    <t>టాప్ బాక్స్‌లో బాగా పేర్కొన్న లక్ష్యం లేదా లక్ష్యాలను రాయండి.</t>
  </si>
  <si>
    <t>మధ్య కాలమ్‌లో, ప్రతి చర్య దశకు పూర్తి తేదీని జోడించండి.</t>
  </si>
  <si>
    <t>తరువాతి తరాన్ని ఎలా ప్రోత్సహిస్తున్నారు మరియు అభివృద్ధి చేస్తున్నారు అనే దానిపై నాయకుడికి శిక్షణ ఇవ్వడానికి అందించిన స్థలాన్ని ఉపయోగించండి. మీకు మరింత స్థలం కావాలంటే, మీరు మరింత కాగితం ఉపయోగించవచ్చు.</t>
  </si>
  <si>
    <t>సూచనగా, దిగువ ఎడమ పెట్టెలో ఆ గుంపు కోసం ఫంక్షన్లను సర్కిల్ చేయండి.</t>
  </si>
  <si>
    <t>అభివృద్ధి చెందుతున్న సమూహాలు, నాయకులు లేదా అన్వేషించబడుతున్న ప్రాంతాల కోసం:</t>
  </si>
  <si>
    <t>గమనికలు సంపాదించే ప్రతి వ్యక్తి అతని / ఆమె సొంత కాగితం లేదా నోట్ బుక్ను సరఫరా చేస్తుంది.</t>
  </si>
  <si>
    <t>От</t>
  </si>
  <si>
    <t>к</t>
  </si>
  <si>
    <t>Введите уникальный идентификационный номер или код, присвоенный группе.</t>
  </si>
  <si>
    <t>Метрики группы</t>
  </si>
  <si>
    <t>В верхнем ряду полей запишите номер для каждой категории в поле под каждым символом.</t>
  </si>
  <si>
    <t>Используйте второй ряд блоков, только если ваша группа записывает дополнительные пользовательские категории. Запишите каждую категорию в поле над назначенным номером.</t>
  </si>
  <si>
    <t>Групповые функции</t>
  </si>
  <si>
    <t>Заполните поля в нижней части этого раздела, как указано. Тщательная точность хранит информацию для последующего использования. Это также показывает связь этой группы с другими группами. Эта информация может быть заполнена до тренировки.</t>
  </si>
  <si>
    <t>Добавьте примечания в пространство рядом с символом, которые предоставляют более подробную информацию об этой функции группы. Возможно, вам не нужно использовать каждый пробел.</t>
  </si>
  <si>
    <t>Используйте предоставленное место, чтобы обучить лидера тому, как следующее поколение поощряется и развивается. Если вам нужно больше места, вы можете использовать больше бумаги.</t>
  </si>
  <si>
    <t>В более крупном поле укажите, каким образом лидер, которого тренируют в этом сеансе, может помочь поощрить, бросить вызов и освободить лидера и группу дочери. Не принимайте решения или приоритеты для дочерней группы.</t>
  </si>
  <si>
    <t>Alates</t>
  </si>
  <si>
    <t>Grupi mõõdikud</t>
  </si>
  <si>
    <t>Kastide ülemises reas märkige iga kategooria number iga sümboli alla.</t>
  </si>
  <si>
    <t>Kasutage teist kastide rida ainult siis, kui teie rühm salvestab täiendavaid kohandatud kategooriaid. Salvestage iga kategooria määratud numbri kohal olevasse kasti.</t>
  </si>
  <si>
    <t>Grupi funktsioonid</t>
  </si>
  <si>
    <t>Lisage sümboli kõrval olevasse kohta märkmeid, mis annavad rohkem teavet selle rühma funktsiooni kohta. Te ei pea kasutama iga ruumi.</t>
  </si>
  <si>
    <t>Kasutage ruumi, et juhendada liidrit järgmise põlvkonna julgustamisel ja arendamisel. Kui vajate rohkem ruumi, võite kasutada rohkem paberit.</t>
  </si>
  <si>
    <t>Suuremas kastis loetlevad viisid, kuidas selles juhendamise sessioonis juhitud liider aitab tütre juhti ja rühma julgustada, vaidlustada ja vabastada. Ära tee tütarrühma jaoks otsuseid ega prioriteete.</t>
  </si>
  <si>
    <t>Lisage ideid, kuidas uut edusamme teha ja Püha Vaimu juhtida järgmisel ajaperioodil.</t>
  </si>
  <si>
    <t>À</t>
  </si>
  <si>
    <t>Zouti jan pou fe trase jenerasyonèl</t>
  </si>
  <si>
    <t>Pou ...</t>
  </si>
  <si>
    <t>Antre nimewo idantifikasyon inik la oswa kòd la aksepte nan gwoup la.</t>
  </si>
  <si>
    <t>Gwoup Metrics</t>
  </si>
  <si>
    <t>Nan ranje anwo a nan bwat, anrejistre nimewo a pou chak kategori nan ti kare ki anba chak senbòl.</t>
  </si>
  <si>
    <t>Sèvi ak dezyèm ranje nan bwat sèlman si gwoup ou an ap anrejistre plis kategori defini koutim. Ekri chak kategori nan bwat ki anwo a nimewo ki afekte a.</t>
  </si>
  <si>
    <t>Gwoup Fonksyon yo</t>
  </si>
  <si>
    <t>Ajoute nòt nan espas ki akote senbòl la ki bay plis detay sou fonksyon gwoup la. Ou ka pa bezwen sèvi ak tout espas.</t>
  </si>
  <si>
    <t>Sèvi ak espas yo bay pou antrene lidè a sou fason pwochen jenerasyon an ap ankouraje epi devlope. Si ou bezwen plis espas, ou ka itilize plis papye.</t>
  </si>
  <si>
    <t>Ajoute ide sou fason pou fè nouvo pwogrè epi disène dirijan Sentespri a nan peryòd tan kap vini an.</t>
  </si>
  <si>
    <t>世代マッピングコーチングツールは、グループの健康と機能についてのコーチングセッションからの詳細を記録する場所です。 詳細は、通常3か月の期間（年の4分の1）を表す時点からです。これは、最初の月の初めから3番目の月の終わりまでです。</t>
  </si>
  <si>
    <t>グループメトリクス</t>
  </si>
  <si>
    <t>ボックスの一番上の行で、各記号の下のボックスに各カテゴリの番号を記録します。</t>
  </si>
  <si>
    <t>2行目のボックスは、グループが追加のカスタム定義カテゴリを記録している場合にのみ使用してください。 割り当てられた番号の上のボックスに各カテゴリを記録します。</t>
  </si>
  <si>
    <t>グループ機能</t>
  </si>
  <si>
    <t>ラベルの付いたこのセクションの下部にあるボックスに入力します。 慎重な正確さは後で参照するために情報をまとめます。 このグループと他のグループとの関係も示しています。 この情報は、コーチングセッションの前に記入することができます。</t>
  </si>
  <si>
    <t>記号の隣のスペースに、グループのその機能に関する詳細を示すメモを追加します。 すべてのスペースを使う必要はないかもしれません。</t>
  </si>
  <si>
    <t>次の世代がどのように奨励され発展しているかについて指導者を指導するために提供されたスペースを使ってください。 もっとスペースが必要な場合は、もっと用紙を使うことができます。</t>
  </si>
  <si>
    <t>大きな枠の中に、このコーチングセッションで指導されている指導者が娘の指導者とグループを励まし、挑戦し、解放するのに役立つ方法を挙げてください。 娘グループのために決断や優先順位を決めないでください。</t>
  </si>
  <si>
    <t>どのようにして新しい進歩を遂げ、次の期間に聖霊の導きを見分けるかについての考えを加えなさい。</t>
  </si>
  <si>
    <t>친교</t>
  </si>
  <si>
    <t>신분증</t>
  </si>
  <si>
    <t>그룹 측정 항목</t>
  </si>
  <si>
    <t>상자의 맨 위 줄에 각 기호 아래의 상자에 각 범주의 번호를 기록하십시오.</t>
  </si>
  <si>
    <t>그룹이 추가 사용자 정의 정의 범주를 기록하는 경우에만 상자의 두 번째 행을 사용하십시오. 할당 된 번호 위에 상자에 각 범주를 기록하십시오.</t>
  </si>
  <si>
    <t>그룹 기능</t>
  </si>
  <si>
    <t>그 그룹의 기능에 대한 더 자세한 정보를 제공하는 기호 옆의 공간에 메모를 추가하십시오. 모든 공간을 사용할 필요는 없습니다.</t>
  </si>
  <si>
    <t>다음 세대가 격려되고 개발되는 방법에 대해 지도자를지도하기 위해 제공된 공간을 사용하십시오. 더 많은 공간이 필요하면 더 많은 용지를 사용할 수 있습니다.</t>
  </si>
  <si>
    <t>A4</t>
  </si>
  <si>
    <t>LT</t>
  </si>
  <si>
    <t>Children</t>
  </si>
  <si>
    <t>Herramienta para el Entrenamiento del Mapeo Generacional</t>
  </si>
  <si>
    <t>Fecha de Inicio</t>
  </si>
  <si>
    <t>Generación</t>
  </si>
  <si>
    <t>Hasta</t>
  </si>
  <si>
    <t>Reunido</t>
  </si>
  <si>
    <t>¿Cuál es mi meta(s) para los próximos tres meses?</t>
  </si>
  <si>
    <t>¿Qué pasos debo tomar para alcanzar esta(s) meta(s)?</t>
  </si>
  <si>
    <t>¿Cuándo se dará este paso?</t>
  </si>
  <si>
    <t>Adoración</t>
  </si>
  <si>
    <t>La Santa Cena</t>
  </si>
  <si>
    <t>Ingrese las fechas en las casillas etiquetadas "desde" y "hasta" (período de tiempo para los datos en el formulario) y "reunido" (fecha de la sesión de entrenamiento).</t>
  </si>
  <si>
    <t>Guía de Referencia Rápida</t>
  </si>
  <si>
    <t>La Herramienta para el Entrenamiento del Mapeo Generacional es un lugar para registrar los detalles, mediante una sesión de entrenamiento, sobre la salud y las funciones de un grupo. Los detalles son de un período que generalmente abarca tres meses (un trimestre del año), desde el comienzo del primer mes hasta el final del tercero.</t>
  </si>
  <si>
    <t>Diagrama del Grupo Saludable</t>
  </si>
  <si>
    <t>En la primera fila de casillas, registre el número de cada categoría en la casilla debajo de cada símbolo.</t>
  </si>
  <si>
    <t>Asistencia del grupo</t>
  </si>
  <si>
    <t>Total de creyentes en el grupo</t>
  </si>
  <si>
    <t>Nuevos creyentes en el grupo en este período</t>
  </si>
  <si>
    <t>Total de bautizados en el grupo.</t>
  </si>
  <si>
    <t>Nuevos bautizados en el grupo en este período.</t>
  </si>
  <si>
    <t>En el caso de que su grupo esté usando categorías definidas personalizadas, utilice la segunda fila de casillas. Registre cada categoría encima del número asignado en la casilla .</t>
  </si>
  <si>
    <t>Funciones del grupo</t>
  </si>
  <si>
    <t>Trace el círculo mayor.</t>
  </si>
  <si>
    <t>Circule uno de los símbolos para cada función.</t>
  </si>
  <si>
    <t>Circule con una línea continua el símbolo que está dentro del círculo mayor, si los miembros del grupo participan regularmente en una función sin ayuda externa.</t>
  </si>
  <si>
    <t>Circule el símbolo con una línea discontinua para las funciones en cuyo desarrollo está trabajando, o que puede ser capaz de realizar, pero que en realidad no realizó en este período de tiempo en particular.</t>
  </si>
  <si>
    <t>Circule el símbolo fuera del círculo mayor si el grupo no participa por sí solo, pero sí tiene otra forma de participar en esta función.</t>
  </si>
  <si>
    <t>No circule el símbolo si los miembros del grupo no tienen una forma habitual de participar en esta función.</t>
  </si>
  <si>
    <t>Rellene las casillas en la parte inferior de esta sección como se le pide. La precisión en la información para referencias futuras. También muestra la conexión de este grupo con otros. Esta información se puede completar antes de la sesión de entrenamiento.</t>
  </si>
  <si>
    <t>Agregue notas en el espacio al lado del símbolo que proporcionen más detalles sobre esa función del grupo. Es posible que no necesite utilizar todos los espacios.</t>
  </si>
  <si>
    <t>Puede usar un sistema numérico para comparar las diferentes funciones.</t>
  </si>
  <si>
    <t>Los detalles sobre un desafío constante que enfrente un grupo se pueden colocar en la casilla "Otros detalles".</t>
  </si>
  <si>
    <t>(sección 3)</t>
  </si>
  <si>
    <t>Escriba una o más metas bien establecidas en el cuadro superior.</t>
  </si>
  <si>
    <t>Haga una lista de pasos de acción en la columna izquierda.</t>
  </si>
  <si>
    <t>En la columna central, agregue una fecha de terminación para cada paso de acción.</t>
  </si>
  <si>
    <t>En la columna derecha, haga una lista de las personas a las que puede pedir ayuda, los materiales que necesitará y otras cosas que pueden ayudar a completar el paso de acción.</t>
  </si>
  <si>
    <t>Nueva generación</t>
  </si>
  <si>
    <t>(sección 4)</t>
  </si>
  <si>
    <t>En base a lo que se conoce, agregue el nombre, el líder, la ubicación, la fecha de inicio o las métricas centrales en la casilla superior izquierda.</t>
  </si>
  <si>
    <t>También como referencia, circule las funciones para ese grupo en la casilla inferior izquierda.</t>
  </si>
  <si>
    <t>En la casilla más grande, enumere formas en las que el líder que recibe la capacitación en esta sesión de entrenamiento puede ayudar a alentar, desafiar y liberar al líder y grupo de la iglesia hija. No tome decisiones o prioridades en lugar del grupo hija.</t>
  </si>
  <si>
    <t>(Cada grupo de hijas debe tener una charla de capacitación por separado y una herramienta de entrenamiento detallada).</t>
  </si>
  <si>
    <t>Para grupos y líderes emergentes o áreas que están siendo exploradas:</t>
  </si>
  <si>
    <t>Ponga el nombre del nuevo grupo, comunidad o líder potencial en la casilla superior izquierda.</t>
  </si>
  <si>
    <t>En la casilla más grande, enumere lo que se hizo en el último período de tiempo para ayudar al grupo o líder emergente.</t>
  </si>
  <si>
    <t>Notas de entrenamiento adicionales pueden ser útiles en algunos entornos.</t>
  </si>
  <si>
    <t>Cada persona que toma notas  surte su propio papel o cuaderno.</t>
  </si>
  <si>
    <t>Las notas que se tomen sobre el entrenamiento, son confidenciales y no deben estar a la vista de otros.</t>
  </si>
  <si>
    <t>ENTRENAMIENTO DE MAPEO GENERACIONAL</t>
  </si>
  <si>
    <t>Ejemplos de preguntas de entrenamiento</t>
  </si>
  <si>
    <t>Posibles preguntas que debe hacer al completar la Sección 1 Diagrama del Grupo Saludable, de la Herramienta para el  Entrenamiento del Mapeo Generacional :</t>
  </si>
  <si>
    <t>¿Cuántas personas están asistiendo a su grupo ahora?</t>
  </si>
  <si>
    <t>¿Cuántos son creyentes en el grupo? ¿Cuántos se convirtieron en el último período (por ejemplo, tres meses)?</t>
  </si>
  <si>
    <t>¿Cuántos son creyentes bautizados en el grupo? ¿Cuántos fueron bautizados en el último período (por ejemplo, tres meses)?</t>
  </si>
  <si>
    <t>¿El grupo se ha comprometido o se ha reunido para ser una iglesia del Nuevo Testamento completamente funcional? Si es así, haz que el círculo sea sólido. Si no, mantén el círculo en una línea discontinua.</t>
  </si>
  <si>
    <t>¿Cuál(es) de las nueve funciones de una iglesia del Nuevo Testamento practican regularmente los miembros de su grupo sin ninguna ayuda externa? Cuando el sembrador de iglesias identifique las funciones, circule cada una dentro del círculo más grande. Circule luego, dentro de las funcione que están fuera del círculo más grande, las que el grupo no está practicando por su cuenta, pero sí tienen otra forma de participar en esta función, pero si los miembros del grupo no tienen una forma de participar en esa función con regularidad, no las circule.</t>
  </si>
  <si>
    <t>¿Qué tan efectiva calificaría usted la manera en que el grupo está realizando esta función? Si funciona de manera saludable, circúlela con una línea continua; Si el grupo necesita trabajar en esta función, circule la actividad con una línea discontinua.</t>
  </si>
  <si>
    <t>Posibles preguntas que debe hacer al completar las secciones 2 y 3, Detalles y Metas respectivamente, de la Herramienta para el Entrenamiento del Mapeo Generacional:</t>
  </si>
  <si>
    <t>¿Qué está haciendo su grupo para esta función? (Hágase esta pregunta para cada función que el grupo esté haciendo)</t>
  </si>
  <si>
    <t>Usted indicó, al dibujar una línea discontinua, que el grupo necesita crecer en la realizaciòn de esa función. ¿Qué se necesitaría para cambiar la función a una línea sólida?</t>
  </si>
  <si>
    <t>¿Cómo podría entrenar o capacitar al grupo para que sea más efectivo en esta función? ¿Cuándo se podría hacer esto?</t>
  </si>
  <si>
    <t>¿Cuál(es) de las funciones que el grupo no está practicando debería comenzar despuès de que se conviertan en una iglesia?</t>
  </si>
  <si>
    <t>¿Cómo empezará a ayudar al grupo a comenzar a hacer esta función?</t>
  </si>
  <si>
    <t>¿Qué información adicional sobre el grupo o el contexto de este ayuda a comprender la realidad de lo que está sucediendo en el grupo?</t>
  </si>
  <si>
    <t>¿Qué pasos de acción podría tomar para avanzar hacia esas metas? ¿Qué más?</t>
  </si>
  <si>
    <t>¿A qué retos se enfrenta en esta área?</t>
  </si>
  <si>
    <t>¿Qué podría hacer para superar estos desafíos?</t>
  </si>
  <si>
    <t>¿Qué ha intentado ya? ¿Qué diferencia marcaron tus acciones?</t>
  </si>
  <si>
    <t>¿Quién podría ayudarle?</t>
  </si>
  <si>
    <t>¿Qué otros recursos podría usar?</t>
  </si>
  <si>
    <t>¿Cuándo dará cada uno de estos pasos de acción?</t>
  </si>
  <si>
    <t>¿Quién debe hacer lo que le va a ayudar a lograr estos pasos de acción? Escriba los nombres al lado del paso de acción.</t>
  </si>
  <si>
    <t>Posibles preguntas que se deben hacer al completar la Sección 4 Nueva Generación, de la Herramienta del Mapeo Generacional:</t>
  </si>
  <si>
    <t>¿Cómo está entrenando a estos líderes de la próxima generación?</t>
  </si>
  <si>
    <t>¿Qué está funcionando bien en su entrenamiento?</t>
  </si>
  <si>
    <t>¿Qué funciones están realizando bien los grupos en estos grupos de próxima generación? ¿Dónde luchan o necesitan ayuda?</t>
  </si>
  <si>
    <t>¿Quién y cómo se dará este entrenamiento?</t>
  </si>
  <si>
    <t>চার্চের নাম</t>
  </si>
  <si>
    <t xml:space="preserve">শুরু তারিখ </t>
  </si>
  <si>
    <t>নেতার নাম</t>
  </si>
  <si>
    <t>মাদার চার্চ</t>
  </si>
  <si>
    <t>মন্ডলী</t>
  </si>
  <si>
    <t>পর্যন্ত</t>
  </si>
  <si>
    <t>সংগ্রহের তারিখ</t>
  </si>
  <si>
    <t>পরবর্তী তিন মাসের জন্য আমার লক্ষ্য বা লক্ষ্য গুলো কি?</t>
  </si>
  <si>
    <t>এই লক্ষ্য বা লক্ষ্য গুলো অর্জনের জন্য আমাকে কী পদক্ষেপ নিতে হবে?</t>
  </si>
  <si>
    <t>কখন এই পদক্ষেপ সম্পন্ন হবে?</t>
  </si>
  <si>
    <t>আমি কার কাছে সাহায্য চাইতে পারি? আমার কি উপকরণ প্রয়োজন?</t>
  </si>
  <si>
    <t>সহভাগিতা</t>
  </si>
  <si>
    <t>উপাসনা</t>
  </si>
  <si>
    <t>প্রভুর ভোজ</t>
  </si>
  <si>
    <t>দান</t>
  </si>
  <si>
    <t>বাপ্তিষ্ম</t>
  </si>
  <si>
    <t>কার্যকারী</t>
  </si>
  <si>
    <t>বয়স্ক</t>
  </si>
  <si>
    <t>যুবক/যুবতী</t>
  </si>
  <si>
    <t>শিশু</t>
  </si>
  <si>
    <t>(উপরে ৩টি বাক্সে তারিখ লিখুন)</t>
  </si>
  <si>
    <t>“থেকে” এবং "পর্যন্ত" লেবেলযুক্ত বাক্সগুলিতে তারিখগুলি লিখুন (ফর্মের ডেটার জন্য সময়কাল) এবং "সংগ্রহ করা" (কোচিং সেশনের তারিখ।)</t>
  </si>
  <si>
    <t>গ্রুপে ভিন্নতা সনাক্তকরণের জন্য নম্বর বা কোড ব্যবহার করুন।</t>
  </si>
  <si>
    <t>জেনারেশনাল ম্যাপিং কোচিং টুলটি একটি গ্রুপের স্বাস্থ্য ও ক্রিয়াকলাপ সম্পর্কে কোচিং অধিবেশন থেকে বিস্তারিত বিবরণ রাখার একটি স্থান। বিবরণটি এমন একটি সময় থেকে আসে যা সাধারণত তিন মাসের সময়কালকে (বছরের এক চতুর্থাংশ) প্রতিনিধিত্ব করে। এটি প্রথম মাসের শুরু থেকে তৃতীয় মাসের শেষের দিকে সম্পন্ন হয় ।</t>
  </si>
  <si>
    <t>(সেকশন ১ )</t>
  </si>
  <si>
    <t>গ্রুপ ছন্দ বিন্যাস</t>
  </si>
  <si>
    <t>বাক্সের ১ম সারিতে : প্রতিটি প্রতীকের নীচের প্রতিটি শ্রেণীর জন্য নম্বরটি রেকর্ড করুন।</t>
  </si>
  <si>
    <t>এই সময়কালের গ্রুপের নতুন বিশ্বাসী</t>
  </si>
  <si>
    <t>দলের মধ্যে মোট বাপ্তিষ্মের সংখ্যা</t>
  </si>
  <si>
    <t>নতুন এই গ্রুপের মধ্যে বাপ্তিষ্মের সংখ্যা</t>
  </si>
  <si>
    <t>বাক্সের ২য় সারি : ব্যবহার করুন যদি আপনার গ্রুপ  চলিত প্রথার সংজ্ঞায়িত শ্রেণীতে রেকর্ড করা হয়। নির্ধারিত সংখ্যা উপরে বক্সের প্রতিটি বিভাগ রেকর্ড করুন।</t>
  </si>
  <si>
    <t>বড় বৃত্ত চিহ্নিত করুন</t>
  </si>
  <si>
    <t>যদি একটি গির্জা হিসাবে একসঙ্গে অঙ্গীকারবদ্ধ হয় তাহলে একটি স্পষ্ট লাইন ব্যবহার করুন।</t>
  </si>
  <si>
    <t>যদি দলটি একটি গির্জা হিসাবে অঙ্গীকারবদ্ধ না হয় তাহলে ড্যাশ লাইন আঁকুন।</t>
  </si>
  <si>
    <t>প্রতিটি ফাংশন জন্য একটি প্রতীকের চারপাশে একটি ছোট বৃত্ত আঁকুন।</t>
  </si>
  <si>
    <t>যদি গ্রুপের সদস্যরা বাইরের কোন সহায়তা ছাড়া  নিয়মিত কোন কার্যক্রমে অংশগ্রহণ করে তবে বড় বৃত্তের ভিতরে প্রতীকটি একটি স্পষ্ট লাইন দিয়ে বৃত্তাকার করুন।</t>
  </si>
  <si>
    <t>প্রকৃতপক্ষে  বিশেষ সময়ের মধ্যে আপনি যে উন্নয়নশীল কাজ বা যে কাজ করতে সক্ষম কিন্তু তা করা হয়নি এমন কার্যক্রমের  জন্য প্রতীকটি একটি ড্যাশ লাইনযুক্ত বৃত্তাকার করুন  ।</t>
  </si>
  <si>
    <t>যদি গ্রুপ নিজেই অংশগ্রহণ না করে তবে বড় বৃত্তের বাইরে প্রতীকটি বৃত্তাকার করুন, তবে এই কার্যক্রমে অংশ নেওয়ার আরেকটি উপায় আছে।</t>
  </si>
  <si>
    <t>গ্রুপের সদস্যদের এই কার্যক্রমে অংশগ্রহণের নিয়মিত উপায় না থাকলে প্রতীকটি বৃত্তাকার করবেন না।</t>
  </si>
  <si>
    <t>লেবেল হিসাবে এই সেকশনের নীচের বাক্স পূরণ করুন।  পরবর্তী রেফারেন্সের জন্য যত্নসহকারে সঠিকভাবে  তথ্য একসাথে রাখুন । এটি অন্যান্য গ্রুপের সাথে এই গ্রুপের সংযোগও দেখায়। এই তথ্য কোচিং সেশনের আগে পূরণ করা যেতে পারে।</t>
  </si>
  <si>
    <t>(সেকশন ২ )</t>
  </si>
  <si>
    <t>প্রতীকের পাশে থাকা স্থানগুলিতে নোট যুক্ত করুন যা দলের সেই কার্যক্রম সম্পর্কে আরও বিস্তারিত বিবরণ সরবরাহ করে। আপনার প্রতিটি স্থান ব্যবহার করার প্রয়োজন নাও হতে পারে ।</t>
  </si>
  <si>
    <t>আপনি বিভিন্ন কার্যক্রম তুলনা করতে একটি সংখ্যা পদ্ধতি ব্যবহার করতে পারেন।</t>
  </si>
  <si>
    <t>একটি গ্রুপ যে  চলমান চ্যালেঞ্জ  এর মুখোমুখি হয় তার  বিবরণ "অন্যান্য বিবরণ" বাক্সে স্থাপন করুন।</t>
  </si>
  <si>
    <t>লক্ষ্যসমূহ</t>
  </si>
  <si>
    <t>(সেকশন ৩ )</t>
  </si>
  <si>
    <t>শীর্ষ বক্সে একটি ভাল বিবৃত লক্ষ্য বা লক্ষ্যসমূহ লিখুন।</t>
  </si>
  <si>
    <t>বাম কলামে কর্ম পদক্ষেপ  তালিকা তৈরী করুন ।</t>
  </si>
  <si>
    <t>মধ্যম কলামে, প্রতিটি কর্ম পদক্ষেপের জন্য একটি সমাপ্তির তারিখ যুক্ত করুন।</t>
  </si>
  <si>
    <t>ডান কলামে, আপনি যে ব্যক্তিদের সাহায্য চান, আপনার প্রয়োজনীয় উপকরণগুলি এবং কর্ম পদক্ষেপগুলি সম্পূর্ণ করতে সহায়তা করতে পারে এমন অন্যান্য জিনিসগুলি তালিকাভুক্ত করুন।</t>
  </si>
  <si>
    <t>(সেকশন ৪ )</t>
  </si>
  <si>
    <t>পরবর্তী প্রজন্মকে কিভাবে উত্সাহিত ও উন্নত করা হচ্ছে সেই বিষয়ে নেতা প্রশিক্ষণের জন্য প্রদত্ত স্থানটি ব্যবহার করুন। যদি আপনার আরো স্থান প্রয়োজন হয়, তাহলে আপনি আরও কাগজ ব্যবহার করতে পারেন।</t>
  </si>
  <si>
    <t>যখন কন্যা গীর্জা স্থাপন করা হয় :</t>
  </si>
  <si>
    <t>পরিচিতি কিসের উপর ভিত্তি করে, উপরের বাম বাক্সে নাম, নেতা, অবস্থান, শুরুর তারিখ বা মূল ছন্দবিন্যাস যোগ করুন।</t>
  </si>
  <si>
    <t>এছাড়াও একটি রেফারেন্স হিসাবে, নীচের বাম বাক্সে যে গ্রুপের জন্য কার্যক্রম তা বৃত্ত করুন।</t>
  </si>
  <si>
    <t>বৃহত্তর বাক্সে, এই কোচিং অধিবেশনটিতে নেতা যে পদ্ধতিতে কোচিং নিয়েছেন তার তালিকা তৈরি করবেন যা শাখা নেতা এবং দলকে উত্সাহ, চ্যালেঞ্জ এবং মুক্ত করতে সহায়তা করতে পারে। কন্যা গ্রুপের জন্য কোন সিদ্ধান্ত বা অগ্রাধিকার  নিবেন  না।</t>
  </si>
  <si>
    <t>(প্রতিটি কন্যা গ্রুপের একটি পৃথক কোচিং কথোপকথন এবং বিস্তারিত কোচিং সরঞ্জাম থাকা উচিত।)</t>
  </si>
  <si>
    <t>উদীয়মান গ্রুপ, নেতাদের বা অঞ্চলের জন্য যা অনুসন্ধান করা হচ্ছে:</t>
  </si>
  <si>
    <t>উপরের বাম বাক্সে সম্ভাব্য নতুন গ্রুপ, সম্প্রদায় বা নেতার নাম রাখুন।</t>
  </si>
  <si>
    <t>কিভাবে নতুন অগ্রগতি  এবং পবিত্র আত্মার পরিচালনা  পরবর্তী সময়কালে  বুঝতে পারবেন তার ধারনা যোগ করুন।</t>
  </si>
  <si>
    <t>অতিরিক্ত কোচিং নোট কিছু সেটিংস এর সহায়ক হতে পারে।</t>
  </si>
  <si>
    <t>উভয় ব্যক্তির যারা কোচ হচ্ছেন এবং কোচ তাদের নিজস্ব নোট রাখতে পারেন।</t>
  </si>
  <si>
    <t>প্রতিটি ব্যক্তি নোট তৈরীর জন্য তার নিজের কাগজ বা নোট বই সরবরাহ করে।</t>
  </si>
  <si>
    <t>কোচিং নোট তৈরি করা হলে, তারা গোপনীয়তা এবং অন্যদের  দেখা থেকে সুরক্ষিত করা প্রয়োজন।</t>
  </si>
  <si>
    <t>হ্যান্ডআউট ৩: নমুনা কোচিং প্রশ্ন</t>
  </si>
  <si>
    <t xml:space="preserve"> সেকশন ১ এর হেলথ গ্রুপ ডায়াগ্রামটি পূরণ করার সময়, জেনারেশন ম্যাপিং কোচিং টুলের সম্ভাব্য প্রশ্ন  জিজ্ঞাসা করতে হয়:</t>
  </si>
  <si>
    <t>ক.</t>
  </si>
  <si>
    <t>খ.</t>
  </si>
  <si>
    <t>গ.</t>
  </si>
  <si>
    <t>সেকশন এক  এর শীর্ষ:</t>
  </si>
  <si>
    <t>আপনার গ্রুপে এখন কতজন অংশগ্রহণ করছেন?</t>
  </si>
  <si>
    <t>কতজন দলের মধ্যে বিশ্বাসী? শেষ সময়ে (যেমন তিন মাস) কত জন বিশ্বাসী হয়েছিল?</t>
  </si>
  <si>
    <t xml:space="preserve"> গ্রুপে কত জন বাপ্তাইজিত বিশ্বাসী হয়েছে? শেষ পর্যায়ে কতজন বাপ্তাইজিত বিশ্বাসী হয়েছেন (যেমন তিন মাস)?</t>
  </si>
  <si>
    <t>সেকশন এক এর কেন্দ্র:</t>
  </si>
  <si>
    <t>গ্রুপটি প্রতিশ্রুতিবদ্ধ বা একটি সম্পূর্ণরূপে কার্যকরী নিউ টেস্টামেন্ট গির্জা হয়ে অঙ্গীকারবদ্ধ হয়েছে? যদি তাই হয়, একটি স্পষ্ট বৃত্ত আঁকুন। যদি না হয়, একটি ড্যাশ লাইনযুক্ত বৃত্ত আঁকুন ।</t>
  </si>
  <si>
    <t>নিউ টেস্টামেন্ট গির্জার কোন নয়টি কার্যক্রম যা আপনার গ্রুপের সদস্যরা নিয়মিতভাবে অনুশীলন করে বাইরের কারো সহযোগিতা ছাড়াই ? চার্চ স্থাপনকারীর  সনাক্ত করা কার্যক্রমগুলো, বড় বৃত্ত ভিতরে প্রতিটি কার্যক্রম বৃত্তাকার করুন। বড় বৃত্তের বাইরের দিকে বৃত্ত  করুন যে গ্রুপটি তাদের নিজস্ব কার্যক্রম অনুশীলন করছে না তবে এই কার্যক্রমে অংশগ্রহণের অন্য উপায় রয়েছে। গ্রুপের সদস্যরা যে কার্যক্রমটিতে নিয়মিত অংশগ্রহণ করে না সেই কার্যক্রমটির বাইরে কোন বৃত্ত দিবেন না।</t>
  </si>
  <si>
    <t>গ্রুপটি কীভাবে এই কার্যক্রম করছে তা আপনি কতটা কার্যকর মনে করেন? স্বাস্থ্যকরভাবে কাজ করা হলে, বৃত্তের কার্যক্রমটিকে স্পষ্ট বৃত্ত দিয়ে বৃত্তাকার করুন; যদি গ্রুপটি এই কার্যক্রমে আরো উন্নতি করতে চায় তবে একটি ড্যাশযুক্ত লাইনের সাথে কার্যকলাপটি বৃত্ত করুন।</t>
  </si>
  <si>
    <t xml:space="preserve"> সেকশন ২ এবং ৩ এর বিবরন এবং লক্ষ্যসমূহ সেকশন পূরণ করার সময়, জেনারেশন ম্যাপিং কোচিং টুলের সম্ভাব্য প্রশ্ন  জিজ্ঞাসা করতে হয়:</t>
  </si>
  <si>
    <t>সেকশন দুই:</t>
  </si>
  <si>
    <t>এই কার্যক্রমের জন্য আপনার গ্রুপ কি করছে? (গ্রুপটি যা করছে তার প্রতিটি কার্যক্রমের জন্য এই প্রশ্নটি জিজ্ঞাসা করুন)</t>
  </si>
  <si>
    <t>আপনার গ্রুপের কোন কার্যক্রমটির উন্নতি করা দরকার সেটি ড্যাশ লাইন দিয়ে চিহ্নিত করুন । এটিকে একটি স্পষ্ট লাইনে রূপান্তরিত করতে আপনাকে কি করতে হবে ?</t>
  </si>
  <si>
    <t>আপনি কিভাবে এই কার্যক্রমে আরও কার্যকর হতে আপনার গ্রুপকে   প্রশিক্ষণ অথবা কোচিং দিতে পারেন? আপনি কখন এটা করতে পারবেন?</t>
  </si>
  <si>
    <t>কোন দলটি অনুশীলন করছে না এমন কোন কাজটি তারা শুরু করবে একটি পূর্ণ   চার্চ হতে ?</t>
  </si>
  <si>
    <t>কিভাবে আপনি গ্রুপকে সাহায্য করবেন জানাতে যে এটি একটি গুরুত্বপূর্ণ কার্যক্রম?</t>
  </si>
  <si>
    <t>আপনি কিভাবে এই কার্যক্রমটি শুরু করতে আপনার দলকে সাহায্য করবেন?</t>
  </si>
  <si>
    <t>গ্রুপ বা দলের প্রসঙ্গ সম্পর্কে কোন অতিরিক্ত তথ্য দলটিতে কী ঘটছে তার বাস্তবতাকে বুঝতে সাহায্য করে?</t>
  </si>
  <si>
    <t>সেকশন তিন:</t>
  </si>
  <si>
    <t>আপনার গ্রুপ কি করছে বা করছে না  সেগুলো মধ্যে  সবচেয়ে গুরুত্বপূর্ণ কোন লক্ষ্য বা লক্ষ্যসমূহে আপনাকে ফোকাস করতে হবে  পরবর্তী সময়কালে (যেমন তিন মাসের জন্য)?</t>
  </si>
  <si>
    <t>আপনি এই লক্ষ্য এর দিকে নিজেকে এগিয়ে নেবার জন্য কি কার্যকর পদক্ষেপ নিতে পারেন? আর কি?</t>
  </si>
  <si>
    <t>এই এলাকায় আপনি কি চ্যালেঞ্জ এর সম্মুখীন হয়েছেন?</t>
  </si>
  <si>
    <t>আপনি কি ইতিমধ্যে চেষ্টা করেছেন? আপনার কার্যক্রমের কি পার্থক্য রয়েছে?</t>
  </si>
  <si>
    <t>আপনি অন্যান্য আর কি উৎস ব্যবহার করতে পারেন?</t>
  </si>
  <si>
    <t>আপনি  অন্যদের কাছে কি দেখেছেন যা আপনার  কাজে লাগতে  পারে?</t>
  </si>
  <si>
    <t>পরবর্তীতে  আপনি কী কার্যকরী পদক্ষেপ নেবেন (যেমন তিন মাস)? তাদের পাশে বৃত্তাকার বা  একটি তারকা বা চেক চিহ্ন রাখুন।</t>
  </si>
  <si>
    <t>আপনি কখন এই প্রতিটি কার্যকর পদক্ষেপ নিবেন?</t>
  </si>
  <si>
    <t>এই কর্ম পদক্ষেপগুলি সম্পন্ন করতে আপনাকে কী সহায়তা করতে হবে? কার্যকর পদক্ষেপের পাশে তাদের  নাম লিখুন।</t>
  </si>
  <si>
    <t xml:space="preserve"> সেকশন ৪ এর পরবর্তী প্রজন্ম সেকশন  পূরণ করার সময়, জেনারেশন ম্যাপিং কোচিং টুলের সম্ভাব্য প্রশ্ন  জিজ্ঞাসা করতে হয়:</t>
  </si>
  <si>
    <t>আপনি কিভাবে এই পরবর্তী প্রজন্মের নেতাদের কোচিং দিবেন ?</t>
  </si>
  <si>
    <t>আপনার কোচিং এর কোন কাজটি ভাল চলছে ?</t>
  </si>
  <si>
    <t>এই নেতাদের কোচিংয়ের জন্য আপনার কোথায় সাহায্য দরকার?</t>
  </si>
  <si>
    <t>এই পরবর্তী প্রজন্মের গ্রুপগুলোতে কোন কাজটি ভাল চলছে ? কোথায় তারা সংগ্রাম করছে বা তাদের  সাহায্য প্রয়োজন?</t>
  </si>
  <si>
    <t>আপনি উত্সাহিত, সমর্থন, প্রার্থনা, এবং এই নেতাদের জবাবদিহিতা রাখা জন্য কি করছেন?</t>
  </si>
  <si>
    <t xml:space="preserve"> প্রতিটি নেতাকে কোচ দেবার জন্য আপনার লক্ষ্য এবং কার্যকর  পদক্ষেপগুলো কী পরবর্তী সময়কালে (যেমন তিন মাস)?</t>
  </si>
  <si>
    <t>জেলা</t>
  </si>
  <si>
    <t>Male</t>
  </si>
  <si>
    <t>Female</t>
  </si>
  <si>
    <t>GEN</t>
  </si>
  <si>
    <t>Youth</t>
  </si>
  <si>
    <t>row</t>
  </si>
  <si>
    <t>সারি</t>
  </si>
  <si>
    <t>fila</t>
  </si>
  <si>
    <t>Select</t>
  </si>
  <si>
    <t>নির্বাচন করা</t>
  </si>
  <si>
    <t>Is Church</t>
  </si>
  <si>
    <t>New Groups</t>
  </si>
  <si>
    <t>Groups</t>
  </si>
  <si>
    <t>SAVE all updated information to the data tab.</t>
  </si>
  <si>
    <t>No circle. Click the outside icon until there is no circle.</t>
  </si>
  <si>
    <t>Solid circle - outside. Click an outside icon to get a solid circle.</t>
  </si>
  <si>
    <t>Dash circle - inside. Click an inside icon once to get a dash circle.</t>
  </si>
  <si>
    <t>Solid circle - inside. Click an inside icon again to get a solid circle.</t>
  </si>
  <si>
    <t>Click the large circle once to get a dash circle.</t>
  </si>
  <si>
    <t>Click the Large circle again to get a solid circle.</t>
  </si>
  <si>
    <t>Seleccione</t>
  </si>
  <si>
    <t>সমস্ত আপডেট তথ্য তথ্য ট্যাবে সংরক্ষণ করুন।</t>
  </si>
  <si>
    <t>GUARDE toda la información actualizada en la pestaña de datos.</t>
  </si>
  <si>
    <t>কোনও বৃত্ত নেই। কোনও চেনাশোনা না হওয়া পর্যন্ত বাইরের আইকনটিতে ক্লিক করুন।</t>
  </si>
  <si>
    <t>সলিড সার্কেল - বাইরে। একটি শক্ত বৃত্ত পেতে বাইরের আইকনটিতে ক্লিক করুন।</t>
  </si>
  <si>
    <t>ড্যাশ সার্কেল - ভিতরে। ড্যাশ সার্কেলটি একবার পেতে একটি অভ্যন্তরীণ আইকনটি ক্লিক করুন।</t>
  </si>
  <si>
    <t>সলিড সার্কেল - ভিতরে। একটি শক্ত বৃত্ত পেতে আবার কোনও অভ্যন্তর আইকনটিতে ক্লিক করুন।</t>
  </si>
  <si>
    <t>ড্যাশ সার্কেলটি পেতে একবার বৃহত্তর বৃত্তে ক্লিক করুন।</t>
  </si>
  <si>
    <t>একটি শক্ত বৃত্ত পেতে আবার বৃহত্তর চেনাশোনাতে ক্লিক করুন।</t>
  </si>
  <si>
    <t>Haga clic en el círculo grande nuevamente para obtener un círculo sólido.</t>
  </si>
  <si>
    <t>ranje</t>
  </si>
  <si>
    <t>Chwazi</t>
  </si>
  <si>
    <t>Sove tout enfòmasyon ki ajou sou tab la done.</t>
  </si>
  <si>
    <t>Pa gen sèk. Klike sou ikòn deyò a jiskaske pa gen okenn sèk.</t>
  </si>
  <si>
    <t>Solid sèk - deyò. Klike sou yon icon deyò pou jwenn yon sèk solid.</t>
  </si>
  <si>
    <t>Ti sèk "anndan". Klike sou yon icon andedan yon fwa yo ka resevwa yon sèk priz.</t>
  </si>
  <si>
    <t>Solid sèk - andedan. Klike sou yon icon andedan ankò pou jwenn yon sèk solid.</t>
  </si>
  <si>
    <t>Klike sou gwo sèk la yon fwa pou jwenn yon sèk priz.</t>
  </si>
  <si>
    <t>Klike sou gwo sèk la ankò pou jwenn yon sèk solid.</t>
  </si>
  <si>
    <t>Trainer Location</t>
  </si>
  <si>
    <t>sum</t>
  </si>
  <si>
    <t>Avg.</t>
  </si>
  <si>
    <t>English +</t>
  </si>
  <si>
    <t>Español (Spanish) +</t>
  </si>
  <si>
    <t>Français (French) +</t>
  </si>
  <si>
    <t>বাঙালি (Bengali) +</t>
  </si>
  <si>
    <t>አማርኛ (Amharic) +</t>
  </si>
  <si>
    <t>Chichiwa (Chichewa) +</t>
  </si>
  <si>
    <t>Kiswahili (Swahili) +</t>
  </si>
  <si>
    <t>ဗမာ (Burmese) -</t>
  </si>
  <si>
    <t>Mizo Chin -</t>
  </si>
  <si>
    <t>Hakha Chin -</t>
  </si>
  <si>
    <t>日本人 (Japanese) -</t>
  </si>
  <si>
    <t>हिंदी (Hindi) -</t>
  </si>
  <si>
    <t>Português Portuguese) -</t>
  </si>
  <si>
    <t>தமிழ் (Tamil) -</t>
  </si>
  <si>
    <t>తెలుగు (Telugu) -</t>
  </si>
  <si>
    <t>русский (Russian) -</t>
  </si>
  <si>
    <t>Eesti keel (Estonian) -</t>
  </si>
  <si>
    <t>Kreyòl ayisyen (Haitian Creole) -</t>
  </si>
  <si>
    <t>한국어 (Korean) -</t>
  </si>
  <si>
    <t xml:space="preserve">සිංහල (Sinhala) - </t>
  </si>
  <si>
    <t>Tiếng Việt (Vietnamese) -</t>
  </si>
  <si>
    <t xml:space="preserve"> ગુજરાતી (Gujarti) -</t>
  </si>
  <si>
    <t>L'outil de coaching de la carte générationnelle</t>
  </si>
  <si>
    <t>የትውልዳዊ ንድፍ ማሰልጠኛ</t>
  </si>
  <si>
    <t>Chida chophunzitsira cha Mapu  a M'badyo</t>
  </si>
  <si>
    <t>Kfaa cha kufundishia kuchora Ramani ya Kizazi</t>
  </si>
  <si>
    <t>မျိုးဆက်မြေပုံနည်းပြကိရိယာ</t>
  </si>
  <si>
    <t>የቡድን / የቤተክርስቲያን ስም</t>
  </si>
  <si>
    <t>Gulu / Dzina la Mpingo</t>
  </si>
  <si>
    <t>Kundi / jina la Kanisa</t>
  </si>
  <si>
    <t>အုပ်စု / ဘုရားကျောင်းအမည်</t>
  </si>
  <si>
    <t>Date de commencement</t>
  </si>
  <si>
    <t>የተጀመረበት ቀን</t>
  </si>
  <si>
    <t>Tsiku Loyamba</t>
  </si>
  <si>
    <t>Tarehe za kuanzishwa</t>
  </si>
  <si>
    <t>စတင်ရက်စွဲ</t>
  </si>
  <si>
    <t>ትውልድ</t>
  </si>
  <si>
    <t>M'badyo</t>
  </si>
  <si>
    <t>Kizazi</t>
  </si>
  <si>
    <t>မျိုးဆက်</t>
  </si>
  <si>
    <t>Nom du Leader</t>
  </si>
  <si>
    <t>የመሪው ስም</t>
  </si>
  <si>
    <t>Dzina la Mtsogoleri</t>
  </si>
  <si>
    <t>Jina la Kiongozi</t>
  </si>
  <si>
    <t>ခေါင်းဆောင်၏အမည်</t>
  </si>
  <si>
    <t>አካባቢ</t>
  </si>
  <si>
    <t>Malo</t>
  </si>
  <si>
    <t>Eneo</t>
  </si>
  <si>
    <t>တည်နေရာ</t>
  </si>
  <si>
    <t>የእናት ቡድን / ቤተክርስትያን</t>
  </si>
  <si>
    <t xml:space="preserve"> Gulu la Likulu / Mpingo</t>
  </si>
  <si>
    <t>Kundi Mama / Kanisa</t>
  </si>
  <si>
    <t>မိခင်အုပ်စု / ဘုရားကျောင်း</t>
  </si>
  <si>
    <t>Partenaire de ministère</t>
  </si>
  <si>
    <t>የአገልግሎት አጋር</t>
  </si>
  <si>
    <t xml:space="preserve"> Mgwirizano wa Mu Utumiki </t>
  </si>
  <si>
    <t>Rafiki wa huduma</t>
  </si>
  <si>
    <t>ဝန်ကြီးပါတနာ</t>
  </si>
  <si>
    <t>ከ</t>
  </si>
  <si>
    <t>Kuchokera</t>
  </si>
  <si>
    <t>Kutoka</t>
  </si>
  <si>
    <t>မှ</t>
  </si>
  <si>
    <t>ለ</t>
  </si>
  <si>
    <t>Kupita</t>
  </si>
  <si>
    <t>Hadi</t>
  </si>
  <si>
    <t>ရန်</t>
  </si>
  <si>
    <t>የተሰበሰበ</t>
  </si>
  <si>
    <t>Kutengedwadwa</t>
  </si>
  <si>
    <t>Imekusanywa</t>
  </si>
  <si>
    <t>စုဆောင်းခဲ့သည်</t>
  </si>
  <si>
    <t>የሚቀጥሉት ሶስት ወራት ግቤ ምንድን ነው?</t>
  </si>
  <si>
    <t>Kodi cholinga changa kapena zolinga kwa miyezi ina itatu ikudzayi ndi chiyani?</t>
  </si>
  <si>
    <t xml:space="preserve"> Je, lengo au malengo yangu kwa miezi mitatu ijayo ni yapi?</t>
  </si>
  <si>
    <t>လာမည့်သုံးလအတွက်ကျွန်ုပ်၏ရည်မှန်းချက်သို့မဟုတ်ပန်းတိုင်ကားအဘယ်နည်း။</t>
  </si>
  <si>
    <t>Quelles mesures aurai-je besoin de prendre pour réaliser cet objectif ou ces objectifs?</t>
  </si>
  <si>
    <t>ይህን ግብ  ለመምታት ምን ዓይነት እርምጃዎችን መውሰድ ያስፈልገኛል?</t>
  </si>
  <si>
    <t>Kodi ndingatenge magawo otani kuti ndikwaniritse cholinga kapena zolinga?</t>
  </si>
  <si>
    <t>Je, ni hatua gani nitakazohitaji kuchukua ili kufikia lengo hili au malengo?</t>
  </si>
  <si>
    <t>ဤရည်မှန်းချက်ပန်းတိုင်သို့ရောက်ရန်မည်သည့်ခြေလှမ်းများလှမ်းရမည်နည်း။</t>
  </si>
  <si>
    <t>Quand cette mesure sera-t-elle accomplie?</t>
  </si>
  <si>
    <t>ይህ እርምጃ የሚከናወነው መቼ ነው?</t>
  </si>
  <si>
    <t>Kodi gawo limeneri lidzachitike liti?</t>
  </si>
  <si>
    <t>Je, hatua hii itafanyika lini?</t>
  </si>
  <si>
    <t>ဒီအဆင့်ကိုဘယ်တော့လုပ်မှာလဲ။</t>
  </si>
  <si>
    <t>À qui puis-je demander de l'aide? De quels matériels ai-je besoin?</t>
  </si>
  <si>
    <t>ማንን እርዳታ መጠየቅ እችላለሁ? ምን ምን ያስፈልገኛል?</t>
  </si>
  <si>
    <t>Kodi ndi ndani yemwe ndingamufunse  kuti andithandize? Kodi ndizida  ziti zomwe ndingafune?</t>
  </si>
  <si>
    <t>Je, ni nani ninayeweza kumwomba asaidie? Ninahitaji vifaa gani?</t>
  </si>
  <si>
    <t>ဘယ်သူ့ကိုကူညီရမလဲ။ ကျွန်တော်ဘာပစ္စည်းလိုအပ်ပါသလဲ</t>
  </si>
  <si>
    <t>አሰልጣኝ</t>
  </si>
  <si>
    <t>Mphunzitsi</t>
  </si>
  <si>
    <t>Mkufunzi</t>
  </si>
  <si>
    <t>နည်းပြ</t>
  </si>
  <si>
    <t>ጸሎት</t>
  </si>
  <si>
    <t>Pemphero</t>
  </si>
  <si>
    <t>Maombi</t>
  </si>
  <si>
    <t>ဆုတောင်းခြင်း</t>
  </si>
  <si>
    <t>Communion</t>
  </si>
  <si>
    <t>ህብረት</t>
  </si>
  <si>
    <t>Chiyanjano</t>
  </si>
  <si>
    <t>Ushirika</t>
  </si>
  <si>
    <t>Adoration</t>
  </si>
  <si>
    <t>አምልኮ</t>
  </si>
  <si>
    <t>Kupembedza</t>
  </si>
  <si>
    <t>Kuabudu</t>
  </si>
  <si>
    <t>ကိုးကွယ်မှု</t>
  </si>
  <si>
    <t>Appliquez la Bible</t>
  </si>
  <si>
    <t>መጽሐፍ ቅዱስን መተግበር</t>
  </si>
  <si>
    <t>Gwiritsani ntchito Baibulo</t>
  </si>
  <si>
    <t>Kutumia Biblia</t>
  </si>
  <si>
    <t>သမ္မာကျမ်းစာကိုကျင့်သုံးပါ</t>
  </si>
  <si>
    <t>Évangélisez</t>
  </si>
  <si>
    <t>ወንጌልን መስበክ</t>
  </si>
  <si>
    <t>Lalikirani</t>
  </si>
  <si>
    <t>Kufanya uinjilisti</t>
  </si>
  <si>
    <t>angelဝံဂေလိတရား</t>
  </si>
  <si>
    <t>Sainte Cène</t>
  </si>
  <si>
    <t>የጌታ ራት</t>
  </si>
  <si>
    <t>Mgonero wa Ambuye</t>
  </si>
  <si>
    <t>Meza ya Bwana</t>
  </si>
  <si>
    <t>သခင့်ညစာစားပွဲ</t>
  </si>
  <si>
    <t>Donnez</t>
  </si>
  <si>
    <t>መስጠት</t>
  </si>
  <si>
    <t>Perekani</t>
  </si>
  <si>
    <t>Kutoa</t>
  </si>
  <si>
    <t>ပေးပါ</t>
  </si>
  <si>
    <t>Baptisez</t>
  </si>
  <si>
    <t>ማጥመቅ</t>
  </si>
  <si>
    <t>Batizani</t>
  </si>
  <si>
    <t>Kubatiza</t>
  </si>
  <si>
    <t>ဗတ္တိဇံ</t>
  </si>
  <si>
    <t>Ouvriers</t>
  </si>
  <si>
    <t>ሠራተኞች</t>
  </si>
  <si>
    <t>Antchito</t>
  </si>
  <si>
    <t>Watenda kazi</t>
  </si>
  <si>
    <t>အလုပ်သမားများ</t>
  </si>
  <si>
    <t>ሌሎች ዝርዝር ነገሮች</t>
  </si>
  <si>
    <t>Zina Zambiri</t>
  </si>
  <si>
    <t>Maelezo mengine</t>
  </si>
  <si>
    <t>အခြားအသေးစိတ်များ</t>
  </si>
  <si>
    <t>ወንድ</t>
  </si>
  <si>
    <t>ሴት</t>
  </si>
  <si>
    <t>ወጣቶች</t>
  </si>
  <si>
    <t>ልጆች</t>
  </si>
  <si>
    <t>Les informations sur le groupe</t>
  </si>
  <si>
    <t>የቡድን መረጃ</t>
  </si>
  <si>
    <t>Zokhudza Gulu</t>
  </si>
  <si>
    <t>Taarifa ya Kikundi</t>
  </si>
  <si>
    <t>Group မှသတင်းအချက်အလက်</t>
  </si>
  <si>
    <t>Les Observations</t>
  </si>
  <si>
    <t>ማስታወሻዎች</t>
  </si>
  <si>
    <t>Zolemba</t>
  </si>
  <si>
    <t xml:space="preserve">Maelezo </t>
  </si>
  <si>
    <t>မှတ်စုများ</t>
  </si>
  <si>
    <t>(ከላይ ባሉት 3 ሳጥኖች ውስጥ ቀን አስገባ)</t>
  </si>
  <si>
    <t>(Lowetsani masiku m'mabokosi atatu a pamwambapa)</t>
  </si>
  <si>
    <t>(ingiza tarehe katika visanduku  3 hapo juu)</t>
  </si>
  <si>
    <t>(အပေါ်ဆုံးရှိလေးထောင့်ကွက်များမှရက်စွဲများကိုရိုက်ထည့်ပါ)</t>
  </si>
  <si>
    <t>Les dates</t>
  </si>
  <si>
    <t>ቀን</t>
  </si>
  <si>
    <t>Masiku</t>
  </si>
  <si>
    <t>Tarehe</t>
  </si>
  <si>
    <t>ရက်စွဲများ</t>
  </si>
  <si>
    <t>ከ እና "ለ" በሚሉት ሳጥኖች ውስጥ ቅጹ የተሞላበትን ቀን እና "የተሰበሰበ" በሚለው ሳጥን ውስጥ ደግሞ የስልጠናውን ክፍለ ጊዜ አስገባ፡፡</t>
  </si>
  <si>
    <t>Lowetsani masiku m'mabokosi omwe alembedwa  "kuchokera" ndi "kupita " (nthawi ya zochitika zomwe zapangidwa) ndi "kutengedwa" (tsiku la  lomaphunziro).</t>
  </si>
  <si>
    <t>Ingiza tarehe kwenye visanduku vilivyoandikwa "kutoka" na "hadi" (muda wa taarifa  kwenye fomu) na "kukusanywa" (tarehe ya kipindi cha kufundisha).</t>
  </si>
  <si>
    <t>L' Identifiant</t>
  </si>
  <si>
    <t>መታወቂያ</t>
  </si>
  <si>
    <t>အိုင်ဒီ</t>
  </si>
  <si>
    <t>ለቡድኑ የተሰጠውን ልዩ የመታወቂያ ቁጥር ወይም ኮድ አስገባ፡፡</t>
  </si>
  <si>
    <t>Lowetsani chizindikiro chapadera kapena nambala  yolembedwa ku  gulu.</t>
  </si>
  <si>
    <t>Ingiza nambari ya kitambulisho ya kipekee au msimbo uliopangwa kwa kikundi.</t>
  </si>
  <si>
    <t>အုပ်စုနှင့်သက်ဆိုင်သောသီးခြားမှတ်ပုံတင်နံပါတ်သို့မဟုတ်ကုဒ်တစ်ခုကိုထည့်ပါ။</t>
  </si>
  <si>
    <t>Le guide de référence rapide</t>
  </si>
  <si>
    <t>ፈጣን የማጣቀሻ መመሪያ</t>
  </si>
  <si>
    <t>Kalata yo Tsogolera Yachangu</t>
  </si>
  <si>
    <t>Mwongozo wa Mrejeo wa haraka</t>
  </si>
  <si>
    <t>အမြန်ကိုးကားစရာလမ်းညွှန်</t>
  </si>
  <si>
    <t>L'outil de coaching sur la carte générationnelle est une place pour enregistrer les détails d'une session de coaching sur la santé et les fonctions d'un groupe. Les détails proviennent d'une période qui représente généralement une période de trois mois (un trimestre de l'année). Cela va du début du premier mois à la fin du troisième mois.</t>
  </si>
  <si>
    <t>የትውልዳዊ ንድፍ ማሠልጠኛ መሳሪያ ስለ አንድ ቡድን ጤና እና ተግባራት ዝርዝር መረጃዎችን የመመዝገብያ ቦታ ነው፡፡ ዝርዝሮቹ የ3 ወር (ሩብ ዓመት)  ናቸው፡፡ይህ ማለት ከመጀመሪያው ወር ጅማሬ አንስቶ እስከ ሦስተኛው ወር መጨረሻ ድረስ ነው፡፡</t>
  </si>
  <si>
    <t>Zipangizo zo Phunzitsira za M'badyo ndi malo olembapo tsatanetsane wa nthawi ya Maphunziro  a za umoyo ndi ntchito za gulu. Tsatenetsataneyu akuchokera mu nthawi yomwe  imaimira nthawi ya miyezi itatu (kotala la chaka). Izi zikuchokera kumayambiriro kwa mwezi woyamba mpaka kumapeto kwa mwezi wachitatu.</t>
  </si>
  <si>
    <t>Kifaa cha kufundishia kuchora Ramani ya kizazi ni mahali pa kuandika kumbukumbu ya maelezo kutoka kwenye kipindi cha kufundisha kuhusu afya na kazi za kikundi. Maelezo haya yanatoka wakati ambao kwa kawaida huwakilisha kipindi cha miezi mitatu (robo ya mwaka.) Hii ni kuanzia mwanzo wa mwezi wa kwanza hadi mwishoni mwa mwezi wa tatu.</t>
  </si>
  <si>
    <t>Generational Mapping Coaching Tool သည်အဖွဲ့၏ကျန်းမာရေးနှင့်လုပ်ငန်းဆောင်တာများအကြောင်းနည်းပြသင်တန်းမှအသေးစိတ်အချက်အလက်များကိုမှတ်တမ်းတင်ရန်နေရာတစ်ခုဖြစ်သည်။ အသေးစိတ်အချက်အလက်များသည်ပုံမှန်အားဖြင့်သုံးလ (နှစ်လေးပုံတစ်ပုံ) ကိုကိုယ်စားပြုသောအချိန်ကာလမှဖြစ်သည်။ ၎င်းသည်ပထမလ၏အစမှတတိယလကုန်အထိဖြစ်သည်။</t>
  </si>
  <si>
    <t>Le Diagramme de groupe en bonne santé</t>
  </si>
  <si>
    <t>ጤናማ የቡድን ንድፍ</t>
  </si>
  <si>
    <t>Chinthu cha Gulu la Thanzi</t>
  </si>
  <si>
    <t>Mchoro wa Kikundi chenye Afya</t>
  </si>
  <si>
    <t>ကျန်းမာသောအုပ်စုပုံကြမ်း</t>
  </si>
  <si>
    <t>(ክፍል 1)</t>
  </si>
  <si>
    <t>(gawo 1)</t>
  </si>
  <si>
    <t>(sehemu ya 1)</t>
  </si>
  <si>
    <t>(အပိုင်း ၁)</t>
  </si>
  <si>
    <t>La Mesure du groupe</t>
  </si>
  <si>
    <t>የቡድን ልኬት</t>
  </si>
  <si>
    <t>Magulu a Magulu</t>
  </si>
  <si>
    <t>Uwiano kati ya makundi</t>
  </si>
  <si>
    <t>Group မှမက်ထရစ်</t>
  </si>
  <si>
    <t>Première rangée de cases: Enrégistrez le nombre pour chaque catégorie dans la case au-dessous de chaque symbole</t>
  </si>
  <si>
    <t>በሳጥኖቹ የላይኛው ረድፍ ላይ በእያንዳንዱ ምልክት ስር ባለው ሳጥን ውስጥ ለእያንዳንዱ ምድብ የተጻፈውን ቁጥር መዝግብ፡፡</t>
  </si>
  <si>
    <t>Mu mzere woyamba wa mabokosi, lembani nambala iliyonse mu bokosi pansi pa chizindikiro chirichonse.</t>
  </si>
  <si>
    <t>Katika safu ya juu ya masanduku, andika nambari kwa kila aina katika sanduku chini ya kila alama.</t>
  </si>
  <si>
    <t>အကွက်၏ထိပ်တန်းတွင်အမျိုးအစားတစ်ခုစီအတွက်နံပါတ်ကိုသင်္ကေတတစ်ခုစီအောက်တွင်ထည့်ပါ။</t>
  </si>
  <si>
    <t>La Participants du groupe</t>
  </si>
  <si>
    <t>የቡድን ተሳትፎ</t>
  </si>
  <si>
    <t>Kusonkhana kwa Gulu</t>
  </si>
  <si>
    <t>Mahudhurio ya Kikundi</t>
  </si>
  <si>
    <t>အုပ်စုတက်ရောက်ခြင်း</t>
  </si>
  <si>
    <t>በቡድኑ ውስጥ ያሉ አጠቃላይ  አማኞች</t>
  </si>
  <si>
    <t>Kuchuluka kwa Okhulupilira omwe ali  mu gululo</t>
  </si>
  <si>
    <t>Jumla ya waumini katika kikundi</t>
  </si>
  <si>
    <t>အုပ်စုတွင်စုစုပေါင်းယုံကြည်သူများ</t>
  </si>
  <si>
    <t>Nouveaux croyants dans le groupe dans cette période</t>
  </si>
  <si>
    <t xml:space="preserve"> በቡድኑ ውስጥ ያሉ አዳዲስ አማኞች</t>
  </si>
  <si>
    <t>Okhulupirira atsopano mu gululi nthawiyi</t>
  </si>
  <si>
    <t>Waumini wapya katika kikundi kipindi hiki</t>
  </si>
  <si>
    <t>ဤကာလအတွင်းအုပ်စုတွင်ယုံကြည်သူအသစ်များ</t>
  </si>
  <si>
    <t>በአጠቃላይ በቡድኑ ውስጥ ተጠመቁ</t>
  </si>
  <si>
    <t>Onse amene abatizidwa mu gululo</t>
  </si>
  <si>
    <t>Jumla ya waliobatizwa katika kikundi</t>
  </si>
  <si>
    <t>စုစုပေါင်းအုပ်စုတွင်နှစ်ခြင်းခံသည်</t>
  </si>
  <si>
    <t>Nouvellement baptisé(s) dans le groupe dans cette période</t>
  </si>
  <si>
    <t>በቡድኑ ውስጥ በቅርቡ የተጠመቁ</t>
  </si>
  <si>
    <t>Wobatizidwa kumene mu gulu pa nthawi ino</t>
  </si>
  <si>
    <t>Waliobatizwa hivi karibuni katika kikundi kipindi hiki</t>
  </si>
  <si>
    <t>ဤကာလအတွင်းအုပ်စုတွင်နှစ်ခြင်းခံခဲ့သည်</t>
  </si>
  <si>
    <t>Deuxième rangée de cases: Utilisez celles-ci seulement si votre groupe enrégistre des catégories personnalisées. Enrégistrez chaque catégorie dans la case au-dessus du nombre attribué</t>
  </si>
  <si>
    <t>የሁለተኛ ረድፍ ሳጥኖች፤ቡድናችሁ ተጨማሪ የሆኑ ምድቦችን እየመዘገበ ከሆነ ብቻ ይህንን ተጠቀም፡፡ እያንዳንዱን ምድብ ከተመደበው ቁጥር በላይ ባለው ሳጥን ውስጥ መዝግብ፡፡</t>
  </si>
  <si>
    <t>Gwiritsani ntchito mzere wachiwiri mabokosi pokhapokha ngati gulu lanu likulemba zochitika zina zomwe zikufotokozera  mwambo woonjezera. Lembani mndandanda uliwonse m'bokosi pamwamba pa nambala yomwe wapatsidwa.</t>
  </si>
  <si>
    <t>Tumia safu ya pili ya masanduku ikiwa tu kikundi chako kinaandika aina zilizofafanuliwa. Andika kila aina katika sanduku juu ya nambari iliyotolewa.</t>
  </si>
  <si>
    <t>သင်၏အုပ်စုသည်စိတ်ကြိုက်သတ်မှတ်ထားသောအပိုဆောင်းအမျိုးအစားများကိုသာမှတ်တမ်းတင်မှသာဒုတိယအကွက်များကိုသုံးပါ။ အမျိုးအစားတစ်ခုစီကိုသတ်မှတ်ထားသောနံပါတ်အထက်ရှိကွက်လပ်တွင်မှတ်တမ်းတင်ပါ။</t>
  </si>
  <si>
    <t>Les activités du groupe</t>
  </si>
  <si>
    <t>የቡድን ተግባራት</t>
  </si>
  <si>
    <t>Ntchito za Gulu</t>
  </si>
  <si>
    <t>Kazi ya Kundi</t>
  </si>
  <si>
    <t>အုပ်စုလိုက်လုပ်ဆောင်ချက်</t>
  </si>
  <si>
    <t>Tracez le plus grand cercle.</t>
  </si>
  <si>
    <t>ትልቁን ክብ ተከተል</t>
  </si>
  <si>
    <t>Tsatirani seko lalikulu.</t>
  </si>
  <si>
    <t>Kuchora mduara mkubwa.</t>
  </si>
  <si>
    <t>ပိုကြီးတဲ့စက်ဝိုင်းခြေရာကောက်။</t>
  </si>
  <si>
    <t>Utilisez une ligne continue si le groupe s’est engagé ensemble en tant qu’église.</t>
  </si>
  <si>
    <t>ቡድኑ ቤተ ክርስቲያን ለመሆን ወስኖ ከሆነ ደማቅ መስመር ተጠቀም፡፡</t>
  </si>
  <si>
    <t>Gwiritsani ntchito mzere wolimba ngati gulu ladzipereka  pamodzi monga mpingo.</t>
  </si>
  <si>
    <t>Tumia mstari imara ikiwa kikundi kimejitolea pamoja kama kanisa.</t>
  </si>
  <si>
    <t>အဖွဲ့သည်ဘုရားရှိခိုးကျောင်းတစ်ခုအဖြစ်အတူတကွပူးပေါင်းပါကခိုင်မာသောမျဉ်းကြောင်းကိုသုံးပါ။</t>
  </si>
  <si>
    <t>Laissez la ligne en pointillés si le groupe ne s'est pas engagé en tant qu'église.</t>
  </si>
  <si>
    <t>ቡድኑ ቤተ ክርስቲያን ለመሆን ካልወሰነ የተቆራረጠ መስመር አስምር፡፡</t>
  </si>
  <si>
    <t>Siyani mzere wosalemba ngati gulu silinazipereke monga mpingo.</t>
  </si>
  <si>
    <t>Acha mstari wenye vinukta ikiwa kikundi hakijajitolea kama kanisa.</t>
  </si>
  <si>
    <t>အသင်းသည်ဘုရားရှိခိုးကျောင်းအဖြစ်မ ၀ င်ပါကမျဉ်းပြိုင်ထားပါ။</t>
  </si>
  <si>
    <t>Tracez un plus petit cercle autour d'un symbole pour chaque activité.</t>
  </si>
  <si>
    <t>በእያንዳንዱ ተግባር ምልክት ዙሪያ አነስተኛ ክብ ሳል፡፡</t>
  </si>
  <si>
    <t>Jambulani seko laling'ono lozungulira chizindikiro pa ntchito iliyonse.</t>
  </si>
  <si>
    <t>Chora mduara mdogo kuzunguka alama kwa kila kazi.</t>
  </si>
  <si>
    <t>လုပ်ဆောင်ချက်တစ်ခုစီအတွက်အမှတ်အသားတစ်ခုဖြင့်စက်ဝိုင်းသေးသေးလေးကိုဆွဲပါ။</t>
  </si>
  <si>
    <t>Encerclez le symbole avec une ligne continue  à l’intérieur du plus grand cercle si les membres du groupe participent régulièrement à une activité sans aide extérieure.</t>
  </si>
  <si>
    <t>የቡድኑ አባላት ያለ ውጫዊ እርዳታ  በቋሚነት ተግባራቸውን የሚያከናውኑ ከሆነ በትልቁ ክብ ውስጥ ባለው ደማቅ መስመር ምልክቱን አክብብ፡፡</t>
  </si>
  <si>
    <t>Zungulizani chizindikiro ndi mzere wolimba womwe uli mkati mwa seko lalikulu ngati mamembala a gululo akugwira ntchito nthawi zonse popanda kuthandizira kwina.</t>
  </si>
  <si>
    <t xml:space="preserve"> Zungushia mduara alama kwa mstari imara ambao uko ndani ya mduara mkubwa ikiwa washirika wa kikundi hushiriki mara kwa mara katika kazi bila msaada wa nje.</t>
  </si>
  <si>
    <t>အကယ်၍ အဖွဲ့ ၀ င်များသည်ပြင်ပမှအကူအညီမပါဘဲလုပ်ဆောင်မှုတစ်ခုတွင်ပုံမှန်ပါ ၀ င်ပါကပိုကြီးမားသောစက်ဝိုင်းအတွင်းရှိအစိုင်အခဲမျဉ်းဖြင့်သင်္ကေတကိုဝိုင်းပါ။</t>
  </si>
  <si>
    <t>Entourez le symbole avec une ligne en pointillés pour les activités que vous travaillez à développer ou que vous êtes capables de faire, mais que vous n’avez pas réellement accomplies au cours de cette periode particulière.</t>
  </si>
  <si>
    <t>ለመተግበር እየተለማመድክ ያለውን ወይም ደግሞ ማድረግ የምትችለውን ነገር ግን በዚህኛው ዙር ያላደረከውን ተግባር ምልክት በተቆራረጠ መስመር አክብብ፡፡</t>
  </si>
  <si>
    <t>Zungulizani chizindikirocho ndi mzere wogwira ntchito zomwe mukugwira kuti mukhazikitse kapena mukutha kuchita, koma simunachite nthawiyi.</t>
  </si>
  <si>
    <t>Zungushia mduara alama kwa mstari wenye vinukta kwa kazi ambazo unafanya katika kuendeleza au unaweza kufanya, lakini haukufanya kwa wakati huu.</t>
  </si>
  <si>
    <t>သင်ဖွံ့ဖြိုးဆဲသို့မဟုတ်လုပ်ဆောင်နိုင်သည့်လုပ်ဆောင်မှုများအတွက်သင်္ကေတကိုမျဉ်းဖြင့်အစက်ဝိုင်းဖြင့်ဝိုင်းထားပါ၊ သို့သော်ဤအထူးသဖြင့်အချိန်ကာလတွင်အမှန်တကယ်မလုပ်ခဲ့ပါ။</t>
  </si>
  <si>
    <t>Encerclez le symbole en dehors du plus grand cercle si le groupe ne participe pas tout seul, mais a un autre moyen de participer à cette activité.</t>
  </si>
  <si>
    <t>ቡድኑ ራሱን ችሎ የማይሳተፍ ቢሆንም ይህን ተግባር ለማከናወን ሌላ አማራጭ ያለው ከሆነ ከትልቁ ክብ ውጪ ያለውን ምልክት አክብብ፡፡</t>
  </si>
  <si>
    <t>Zungulizani chizindikiro chomwe chili kunja kwa seko lalikulu ngati gulu silikuchita palokha, koma liri ndi njira zina zogwira nawo ntchitoyi.</t>
  </si>
  <si>
    <t>Zungushia mduara alama nje ya mduara mkubwa ikiwa kikundi hakishiriki chenyewe, lakini kiwe na njia nyingine ya kushiriki katika kazi hii.</t>
  </si>
  <si>
    <t>အကယ်၍ အုပ်စုသည်၎င်းတို့ကိုယ်တိုင်မပါ ၀ င်ပါကပိုကြီးသောစက်ဝိုင်းအပြင်ဘက်ရှိအမှတ်အသားကိုဝိုင်းပါ။ သို့သော်ဤလုပ်ဆောင်မှုတွင်ပါ ၀ င်ရန်အခြားနည်းလမ်းရှိပါ။</t>
  </si>
  <si>
    <t>N'entourez pas le symbole si les membres du groupe n'ont aucun moyen régulier de participer à cette activité.</t>
  </si>
  <si>
    <t>የቡድኑ አባላት በዚህ ተግባር በመደበኛነት ለመሳተፍ የሚችሉበት መንገድ ከሌለ ምልክቱን አታክብብ፡፡</t>
  </si>
  <si>
    <t>Musazungulize  chizindikiro ngati mamembala a gulu sakhala nawo nthawi zonse kuti agwire ntchitoyi.</t>
  </si>
  <si>
    <t>Usizungushie mduara alama ikiwa washirika wa kikundi hawana njia ya kawaida ya kushiriki katika kazi hii.</t>
  </si>
  <si>
    <t>အကယ်၍ အဖွဲ့ ၀ င်များသည်ဤလုပ်ငန်းတွင်ပါ ၀ င်ရန်ပုံမှန်နည်းလမ်းမရှိပါကသင်္ကေတကိုမဝိုင်းပါနှင့်။</t>
  </si>
  <si>
    <t>Zambiri za Gulu</t>
  </si>
  <si>
    <t>Remplissez les cases au bas de cette section comme indiqué. Une précision détaillée conserve les informations pour une référence ultérieure. Elle montre également le rapport entre ce groupe et d'autres groupes. Ces informations peuvent être fournies avant la session de coaching.</t>
  </si>
  <si>
    <t>በዚህ ክፍል ስር ያሉትን ሳጥኖች በስያሜያቸው መሰረት ሙላ፡፡ በቀጣይ ለማጣቀሻነት እንዲያገለግል በጥንቃቄና በትክክል መሙላት አስፈላጊ ነው፡፡ በተጨማሪም ይህ ቡድን ከሌሎች ቡድኖች ጋር ያለውን ግንኙነት ያሳያል፡፡ ይህ መረጃ ከሥልጠናው ክፍለ-ጊዜ በፊት ሊሞላ ይችላል፡፡</t>
  </si>
  <si>
    <t>Lembani mu mabokosi pakati pa gawo lomwe lalembedwa. Kulondola mosamalitsa kumachititsa kuti nkhani zisungidwe  pamodzi kudzaonetsa nthawi ina. Zimasonyezanso kugwirizana kwa gululi ndi magulu lina. Chidziwitso ichi chikhoza kulembedwa musanayambe gawo lophunzitsa.</t>
  </si>
  <si>
    <t>Jaza kwenye masanduku chini ya sehemu hii kama ilivyoandikwa. Usahihi makini huweka taarifa pamoja kwa mrejeo wa baadaye. Inaonyesha pia uunganisho wa kundi hili na makundi mengine. Taarifa hii inaweza kujazwa kabla ya kipindi cha kufundisha.</t>
  </si>
  <si>
    <t>ဤအပိုင်း၏အောက်ခြေရှိအမှတ်အသားများကိုဖြည့်ပါ။ ဂရုတစိုက်တိကျမှန်ကန်မှုသည်သတင်းအချက်အလက်များကိုနောက်ပိုင်းတွင်ရည်ညွှန်းရန်အတူတကွထိန်းသိမ်းသည် ၎င်းအဖွဲ့သည်အခြားအဖွဲ့များနှင့်လည်းဆက်သွယ်မှုကိုပြသသည်။ ဤအချက်အလက်ကိုနည်းပြအစည်းအဝေးမတိုင်မီဖြည့်နိုင်သည်။</t>
  </si>
  <si>
    <t>Les Détails</t>
  </si>
  <si>
    <t>ዝርዝሮች</t>
  </si>
  <si>
    <t>Mwatsatane tsatane</t>
  </si>
  <si>
    <t>Maelezo</t>
  </si>
  <si>
    <t>အသေးစိတ်</t>
  </si>
  <si>
    <t>(ክፍል 2)</t>
  </si>
  <si>
    <t>(gawo 2)</t>
  </si>
  <si>
    <t>(sehemu ya 2)</t>
  </si>
  <si>
    <t>(အပိုင်း ၂)</t>
  </si>
  <si>
    <t>Ajoutez dans l’espace à côté du symbole des notes qui fournissent plus de détails sur cette activité du groupe. Vous n'aurez pas necessairement besoin d'utiliser chaque espace.</t>
  </si>
  <si>
    <t>ከምልክቱ አጠገብ ባለው ቦታ ስለቡድኑ ተግባር የበለጠ ዝርዝር ማብራርያ የሚሰጥ  ማስታወሻ አስፍር፡፡ ሁሉንም ቦታ መጠቀም አያስፈልግህም፡፡</t>
  </si>
  <si>
    <t>Onjezerani zolemba pampata pafupi ndi chizindikiro chomwe chimapereka tsatanetsatane wokhudza ntchito imeneyo. Simungagwiritse ntchito mipata yonse.</t>
  </si>
  <si>
    <t>Ongeza maelezo katika nafasi iliyo karibu na alama ambayo inatoa maelezo zaidi juu ya kazi hiyo ya kikundi. Huenda usihitaji kutumia kila nafasi.</t>
  </si>
  <si>
    <t>အဖွဲ့၏လုပ်ဆောင်ချက်နှင့် ပတ်သက်၍ အသေးစိတ်များကိုပေးသောသင်္ကေတဘေးရှိနေရာတွင်မှတ်စုများကိုထည့်ပါ။ နေရာလွတ်တိုင်းကိုသင်မလိုအပ်ပါ။</t>
  </si>
  <si>
    <t>Vous pouvez utiliser un système numérique pour comparer les différentes activités.</t>
  </si>
  <si>
    <t>የተለያዩ ተግባራትን ለማነጻጸር ቁጥራዊ ስርዓትን መጠቀም ይችላሉ.</t>
  </si>
  <si>
    <t>Mungathe kugwiritsa ntchito njira zamakono poyerekeza ntchito zosiyanasiyana.</t>
  </si>
  <si>
    <t>Unaweza kutumia mfumo wa nambari ili kulinganisha kazi tofauti.</t>
  </si>
  <si>
    <t>ကွဲပြားခြားနားသောလုပ်ဆောင်ချက်များကိုနှိုင်းယှဉ်ရန်ဂဏန်းစနစ်ကိုသင်အသုံးပြုနိုင်သည်။</t>
  </si>
  <si>
    <t>Les détails concernant un défi permanent auquel un groupe est confronté peuvent être placés dans la case "Autres détails".</t>
  </si>
  <si>
    <t>ቡድኑ እያጋጠመው ስላለው ተግዳሮት  "ሌሎች ዝርዝሮች" ውስጥ በሚለው ሳጥን ውስጥ መግለጽ ይችላል፡፡</t>
  </si>
  <si>
    <t>Tsatanetsatane wokhudza vuto lomwe gulu likukumana nalo likhoza kuikidwa mu bokosi  la "Zina Zambiri."</t>
  </si>
  <si>
    <t>Maelezo kuhusu changamoto inayoendelea ambayo kikundi kinakabiliwa nayo yanaweza kuwekwa kwenye sanduku "Maelezo mengine."</t>
  </si>
  <si>
    <t>ဆက်လက်ရင်ဆိုင်နေရသောစိန်ခေါ်မှုနှင့်ပတ်သက်သည့်အသေးစိတ်အချက်အလက်များကို“ အခြားအသေးစိတ်များ” လေးထောင့်ကွက်တွင်ထည့်နိုင်သည်။</t>
  </si>
  <si>
    <t>Les Objectifs</t>
  </si>
  <si>
    <t>ግቦች</t>
  </si>
  <si>
    <t>Zolinga</t>
  </si>
  <si>
    <t>Malengo</t>
  </si>
  <si>
    <t>ပန်းတိုင်များ</t>
  </si>
  <si>
    <t>(ክፍል 3)</t>
  </si>
  <si>
    <t>(gawo 3)</t>
  </si>
  <si>
    <t>(sehemu ya 3)</t>
  </si>
  <si>
    <t>(အပိုင်း ၃)</t>
  </si>
  <si>
    <t>Ecrivez un objectif ou des objectifs bien défini(s) dans la case du haut.</t>
  </si>
  <si>
    <t>ከላይ ባለው ሣጥን ውስጥ በሚገባ ግልጽ የሆነ ግብ ወይም ግቦች ጻፍ፡፡</t>
  </si>
  <si>
    <t>Lembani zolinga zomveka bwino kapena zolinga za mu bokosi lapamwamba.</t>
  </si>
  <si>
    <t>Andika lengo au malengo  yaliyoelezwa vizuri katika sanduku la juu.</t>
  </si>
  <si>
    <t>ထိပ်ဆုံး box ထဲမှာကောင်းစွာဖော်ပြထားရည်မှန်းချက်သို့မဟုတ်ရည်မှန်းချက်များရေးပါ။</t>
  </si>
  <si>
    <t>Répertoriez les mesures à prendre dans la colonne de gauche.</t>
  </si>
  <si>
    <t>በግራ በኩል ባለው ረድፍ ተግበራዊ እርምጃዎችን ዘርዝር፡፡</t>
  </si>
  <si>
    <t>Lembani kachitidwe magawo kumbali yakumanzere</t>
  </si>
  <si>
    <t>Orodhesha hatua za utendaji katika safu ya kushoto.</t>
  </si>
  <si>
    <t>ဘယ်ဘက်ကော်လံရှိလုပ်ဆောင်ချက်အဆင့်များကိုစာရင်းပြုစုပါ။</t>
  </si>
  <si>
    <t>Dans la colonne du milieu, ajoutez une date de réalisation pour chaque mesure.</t>
  </si>
  <si>
    <t>በመካከለኛው ረድፍ ውስጥ እያንዳንዱ ተግባራዊ እርምጃ የሚጠናቀቅበትን ቀን ጻፍ፡፡</t>
  </si>
  <si>
    <t>Mkatikatikati, onjezerani tsiku lomaliza pa gawo lilironse.</t>
  </si>
  <si>
    <t>Katika safu ya kati, ongeza tarehe ya kukamilika kwa kila hatua ya utendaji.</t>
  </si>
  <si>
    <t>အလယ်ကော်လံတွင်လုပ်ဆောင်မှုအဆင့်တစ်ခုစီအတွက်အပြီးသတ်နေ့စွဲကိုထည့်ပါ။</t>
  </si>
  <si>
    <t>Dans la colonne de droite, dressez la liste des personnes auxquelles vous pouvez demander de l'aide, des matériels dont vous aurez besoin et d'autres choses pouvant vous aider à réaliser l'action.</t>
  </si>
  <si>
    <t>በቀኝ በኩል ባለው ረድፍ ውስጥ, እንዲረዱህ የምትጠይቃቸውን ሰዎች ስም ዝርዝር፣ የሚፈልጉህን ቁሳቁሶችን እና ድርጊቱን ለማጠናቀቅ ሊያግዙ የሚችሉ ሌሎች ነገሮችን ዘርዝር፡፡</t>
  </si>
  <si>
    <t>Kumbali ya kumanja, lembani anthu omwe mungawafunse kuti awathandize, zipangizo zomwe mukufuna, ndi zinthu zina zomwe zingathandize kumaliza gawo lotsatira.</t>
  </si>
  <si>
    <t>Katika safu ya kulia, orodhesha watu ambao unaweza kuwaomba kusaidia, vifaa ambavyo utahitaji, na vitu vingine vinavyoweza kusaidia kukamilisha hatua ya utendaji.</t>
  </si>
  <si>
    <t>လက်ျာကော်လံတွင်သင်ကူညီရန်သင်တောင်းဆိုနိုင်သောသူများ၊ သင်လိုအပ်မည့်အရာများနှင့်လုပ်ဆောင်မှုအဆင့်ကိုပြီးမြောက်ရန်ကူညီနိုင်သောအခြားအရာများကိုစာရင်းပြုစုပါ။</t>
  </si>
  <si>
    <t>La Prochaine génération</t>
  </si>
  <si>
    <t>ቀጣዩ ትውልድ</t>
  </si>
  <si>
    <t>Mbadwo Wotsatira</t>
  </si>
  <si>
    <t>Kizazi kijacho</t>
  </si>
  <si>
    <t>နောက်မျိုးဆက်</t>
  </si>
  <si>
    <t>(ክፍል 4)</t>
  </si>
  <si>
    <t>(gawo 4)</t>
  </si>
  <si>
    <t>(Sehemu ya 4)</t>
  </si>
  <si>
    <t>(အပိုင်း ၄)</t>
  </si>
  <si>
    <t>Utilisez l’espace fourni pour coacher le leader sur comment la prochaine génération est encouragée et est développée. Si vous avez besoin de plus d’espace, vous pouvez utiliser plus de papier.</t>
  </si>
  <si>
    <t>ቀጣዩ ትውልድ እንዴት መጎልበትና መበረታታት እንዳለበት መሪውን ለመጠቆም የተዘጋጀውን ቦታ ተጠቀምበት፡፡ ተጨማሪ ቦታ ካስፈለገህ ተጨማሪ ወረቀት ተጠቀም፡፡</t>
  </si>
  <si>
    <t>Gwiritsani ntchito mpata omwe ulipo kusula  mtsogoleri momwe mbadwo wotsatira ungalimbikitsidwire ndikupangidwira. Ngati mukufuna mipata yambiri, mungagwiritse ntchito mapepala ambiri.</t>
  </si>
  <si>
    <t>Tumia nafasi iliyotolewa kumfundisha kiongozi juu ya jinsi kizazi kijacho kinatiwa moyo na kuendelezwa. Ikiwa unahitaji nafasi zaidi, unaweza kutumia karatasi zaidi.</t>
  </si>
  <si>
    <t>နောက်မျိုးဆက်အားမည်သို့အားပေးမြှင့်တင်ပေးသည်ကိုခေါင်းဆောင်အားလမ်းညွှန်ပေးရန်ပေးထားသည့်နေရာကိုသုံးပါ။ သင်နေရာပိုလိုအပ်ပါကစာရွက်ပိုသုံးနိုင်သည်။</t>
  </si>
  <si>
    <t>የተቋቋሙ ልጅ ቤተክርስትያናት  ሲኖሩ፤</t>
  </si>
  <si>
    <t>Kumene kwakhazikitsidwa mipingo yaying'ono:</t>
  </si>
  <si>
    <t>Wakati kuna makanisa mengine yalioanzishwa:</t>
  </si>
  <si>
    <t>တည်ထောင်သောသမီးဘုရားကျောင်းများရှိသည့်အခါ -</t>
  </si>
  <si>
    <t>En fonction de ce que vous savez, ajoutez le nom, le leader, la localisation, la date de début ou les mesures essentielles dans la case en haut à gauche.</t>
  </si>
  <si>
    <t>ባለው መረጃ ላይ በመመርኮዝ ስም፣ መሪ፣ ቦታ፣ የተጀመረበት ቀን ወይም ዋና መለኪያን ከላይ በግራ ሳጥን ውስጥ ሙላ፡፡</t>
  </si>
  <si>
    <t>Malinga ndi zomwe zikudziwika, onjezerani dzina, mtsogoleri, malo, tsiku loyambira kapena masewero oyambirira pamwamba pa bokosi lakumanzere.</t>
  </si>
  <si>
    <t>Kulingana na kile kinachojulikana, ongeza jina, kiongozi, eneo, tarehe ya kuanzishwa au hatua za msingi kwenye sanduku la juu kushoto.</t>
  </si>
  <si>
    <t>လူသိများတာကိုအခြေခံပြီးဘယ်ဘက်အပေါ်ထောင့်ရှိနာမည်၊ ခေါင်းဆောင်၊ တည်နေရာ၊ စတင်ရက်စွဲ (သို့) အဓိကမက်ထရစ်ကိုထည့်ပါ။</t>
  </si>
  <si>
    <t>Toujours à titre de référence, encerclez les activités de ce groupe dans la case en bas à gauche.</t>
  </si>
  <si>
    <t>እንደ ማጣቀሻ, ከታች የግራ ሳጥን ውስጥ የቡድኑን ተግባራት አክብብ፡፡</t>
  </si>
  <si>
    <t>Ndipo monga umboni, zungulizani ntchito za gululo kunsi kwa bokosi lakumanzere.</t>
  </si>
  <si>
    <t>Pia kama mrejeo, zungushia mduara kazi kwa kundi hilo katika sanduku la chini la kushoto.</t>
  </si>
  <si>
    <t>ရည်ညွှန်းချက်တစ်ခုအနေနှင့်၊ ဘယ်အုပ်စုအောက်ပိုင်းရှိအုပ်စုအတွက်လုပ်ဆောင်ချက်များကိုဝိုင်းပါ။</t>
  </si>
  <si>
    <t>Dans la plus grande case, indiquez des moyens par lesquels le leader coaché ​​dans cette session de coaching peut aider à encourager, à défier et à libérer le leader et le groupe fils. Ne prenez pas de décisions ou de priorités pour le groupe de fils.</t>
  </si>
  <si>
    <t>በትልቁ ሳጥኑ ውስጥ፤ በዚህ የስልጠና ክፍለ ጊዜ የሚሰለጥነው መሪ፤   ልጅ ቤተ ክርስትያን የመሚመራውን መሪና ቡድኑን ለማበረታታት, ለመፈተን እና ለማሰማራት የሚችልባቸውን መንገዶች ዘርዝር፡፡ ለልጅ ቡድን ውሳኔዎችን ወይም ቅድሚያ የሚሰጡትን ጉዳዮች አትወስንላቸው፡፡</t>
  </si>
  <si>
    <t>Mu bokosi lalikulu, lembani njira momwe mtsogoleri angasulidwere mu gawo losulali  angathandize, kulimbikitsa, ndi kutsimikizira,ndi kutumiza  mtsogoleri wa gulu la ling'ono. Osapanga zisankho kapena zofunikira za gulu la `laling'ono.</t>
  </si>
  <si>
    <t>Katika sanduku kubwa, orodhesha njia ambazo kiongozi anayefundishwa katika kipindi hiki cha kufundisha anaweza kusaidia kuhimiza, changamoto, na kumtoa kiongozi mwingine na kikundi. Usifanye maamuzi au vipaumbele kwa ajili ya kikundi kingine.</t>
  </si>
  <si>
    <t>ပိုကြီးတဲ့ box ထဲမှာ, ခေါင်းဆောင်, ဒီနည်းပြ session တစ်ခုအတွက် coached ခံရခေါင်းဆောင်သမီး၏ခေါင်းဆောင်နှင့်အုပ်စုအား, စိန်ခေါ်နှင့်လွှတ်ပေးရန်ကူညီနိုင်နည်းလမ်းတွေစာရင်း။ သမီးအုပ်စုအတွက်ဆုံးဖြတ်ချက်များသို့မဟုတ် ဦး စားပေးမှုများမပြုလုပ်ရ။</t>
  </si>
  <si>
    <t>(Chaque groupe fils devrait avoir une conversation de coaching séparée et un outil de coaching détaillé.)</t>
  </si>
  <si>
    <t>(እያንዳንዱ ልጅ ቡድን የተለየ ስልጠና ውይይት እና ዝርዝር የስልጠና መሳሪያ ሊኖረው ይገባል፡፡)</t>
  </si>
  <si>
    <t>(Gulu lirilonse la ling'ono liyenera kukhala ndi zokambirana zapadera za maphunziro ndi tsatanetsatane wa zipangizo zophunzilira.)</t>
  </si>
  <si>
    <t>(Kila kikundi kingine lazima kiwe na mazungumzo tofauti ya kufundisha na kifaa cha kufundishia kwa kina.)</t>
  </si>
  <si>
    <t>(သမီးအုပ်စုတစ်ခုချင်းစီတွင်သီးခြားနည်းပြစကားပြောဆိုမှုနှင့်အသေးစိတ်နည်းပြကိရိယာရှိသင့်သည်။ )</t>
  </si>
  <si>
    <t>Pour les groupes,leaders ou milieux émergents, qui sont en train d'être explorés:</t>
  </si>
  <si>
    <t xml:space="preserve">ገና እየተቋቋሙ ላሉ ቡድኖች፣ መሪዎች ወይም በመታየት ላይ ላሉ ቦታዎች፤ </t>
  </si>
  <si>
    <t>Kwa magulu akutulukira, atsogoleri kapena malo omwe akufufuzidwa:</t>
  </si>
  <si>
    <t>Kwa vikundi  vinavyojitokeza, viongozi au maeneo yanayopatikana:</t>
  </si>
  <si>
    <t>ထွန်းသစ်စအုပ်စုများ၊ ခေါင်းဆောင်များသို့မဟုတ်စူးစမ်းလေ့လာနေသောဒေသများအတွက် -</t>
  </si>
  <si>
    <t>Mettez le nom du potentiel nouveau groupe, communauté ou leader dans la case en haut à gauche.</t>
  </si>
  <si>
    <t>የአዲሱን ቡድን፣ ማህበረሰብ ወይም መሪን ስም ከላይ በስተግራ ባለው ሳጥን ውስጥ አስቀምጥ፡፡</t>
  </si>
  <si>
    <t>Ikani dzina la gulu latsopano, dera kapena mtsogoleri m'mwamba mwa bokosi lakumanzere.</t>
  </si>
  <si>
    <t>Weka jina la kikundi kipya, jamii au kiongozi katika sanduku la kushoto la juu.</t>
  </si>
  <si>
    <t>အလားအလာရှိသည့်အုပ်စုသစ်၊ အသိုင်းအဝိုင်းသို့မဟုတ်ခေါင်းဆောင်၏အမည်ကိုဘယ်ဘက်အပေါ်ထောင့်တွင်ထည့်ပါ။</t>
  </si>
  <si>
    <t>Dans la plus grande grande case, indiquez ce qui a été fait au cours de la dernière période pour aider le groupe ou le leader émergent.</t>
  </si>
  <si>
    <t>በትልቁ ሳጥን ውስጥ፤  በጅማሬ ላይያለውን ቡድን ወይም መሪን ለመርዳት የተሰራውን ስራ ዝርዝር ጻፍ፡፡</t>
  </si>
  <si>
    <t>Mu bokosi lalikulu, lembani zomwe zinachitika m'nthawi yotsiriza kuthandiza gulu lomwe likukwera kapena mtsogoleri.</t>
  </si>
  <si>
    <t>Katika sanduku kubwa, weka kile kilichofanyika katika kipindi cha wakati wa mwisho ili kusaidia kundi linalojitokeza au kiongozi.</t>
  </si>
  <si>
    <t>ပိုကြီးတဲ့အကွက်ထဲမှာ၊ ထွန်းသစ်စအုပ်စု (သို့) ခေါင်းဆောင်ကိုကူညီဖို့နောက်ဆုံးအချိန်ကာလမှာဘာတွေလုပ်ခဲ့တယ်ဆိုတာစာရင်းပြုစုပါ။</t>
  </si>
  <si>
    <t>አዲስ እድገትን እንዴት ማስመዝገብ እንደሚቻል ጻፍ፤ በሚቀጥለው ክፍለ ጊዜ ምን ማድረግ እንዳለብህ የመንፈስ ቅዱስን ምሪት ለይ፡፡</t>
  </si>
  <si>
    <t>Onjezerani malingaliro a momwe mungapitire patsogolo ndipo zindikirani kutsolera kwa Mzimu Woyera mu nthawi yotsatirayi.</t>
  </si>
  <si>
    <t>Ongeza mawazo ya jinsi ya kufanya maendeleo mapya na kutambua uongozi wa Roho Mtakatifu katika kipindi cha wakati ujao.</t>
  </si>
  <si>
    <t>တိုးတက်မှုအသစ်နှင့်သန့်ရှင်းသောဝိညာဉ်တော်၏ရှေ့ဆောင်လမ်းပြမှုကိုပိုင်းခြားသိမြင်ရန်မည်သို့အကြံဥာဏ်များကိုထည့်ပါ။</t>
  </si>
  <si>
    <t>ለሚቀጥለው ክፍለ ጊዜ ቅድሚያ የሚሰጣቸውን ነገሮች አስቀድመህ አስቀምጥ እና እነርሱን ለማሳካት በመወያየት አቅድ፡፡</t>
  </si>
  <si>
    <t>Lembani zofunikira za nthawi yotsatira ndi kukambilana ndondomeko yokwanilitsira zimenezo.</t>
  </si>
  <si>
    <t>Andika vipaumbele kwa ajili ya kipindi cha wakati ujao na kujadili mpango wa kuvikamilisha.</t>
  </si>
  <si>
    <t>လာမည့်အချိန်ကာလအတွက် ဦး စားပေးအချက်များကိုမှတ်သားပြီး၎င်းတို့ပြီးမြောက်ရန်အစီအစဉ်ကိုဆွေးနွေးပါ။</t>
  </si>
  <si>
    <t>Les Observations de coaching</t>
  </si>
  <si>
    <t>የአሰልጣኝ ማስታወሻዎች</t>
  </si>
  <si>
    <t>Zolemba zo phunzitsira</t>
  </si>
  <si>
    <t>Maelezo ya kufundisha</t>
  </si>
  <si>
    <t>နည်းပြများ</t>
  </si>
  <si>
    <t>informations</t>
  </si>
  <si>
    <t>መረጃ</t>
  </si>
  <si>
    <t>chidziwitso</t>
  </si>
  <si>
    <t>Taarifa</t>
  </si>
  <si>
    <t>သတင်းအချက်အလက်</t>
  </si>
  <si>
    <t>Les notes de coaching supplémentaires peuvent être utiles dans certains contextes.</t>
  </si>
  <si>
    <t>በተወሰኑ ቦታዎች ላይ ተጨማሪ የማሠልጠኛ ማስታወሻዎችን ማስቀመጥ አስፈላጊ ሊሆን ይችላል፡፡</t>
  </si>
  <si>
    <t>Zolemba zoonjezera zophunzitsira zingathe kukhala zothandiza m'madera ena.</t>
  </si>
  <si>
    <t>Maelezo ya ziada ya kufundisha yanaweza kuwa na manufaa katika mipangilio fulani.</t>
  </si>
  <si>
    <t>အပိုဆောင်းနည်းပြမှတ်စုများသည်အချို့သောချိန်ညှိချက်များတွင်အသုံးဝင်နိုင်သည်။</t>
  </si>
  <si>
    <t>La personne coachée et le coach peuvent conserver leurs propres notes.</t>
  </si>
  <si>
    <t>ሰልጣኙም እና አሰልጣኙም የየራሳቸውን ማስታወሻ መያዝ ይችላሉ፡፡</t>
  </si>
  <si>
    <t>Onse ophunzira ndi mphunzitsi atha kusunga zolemba zake.</t>
  </si>
  <si>
    <t>Wote, mtu anayefundishwa na mkufunzi wanaweza kutunza maelezo yao wenyewe.</t>
  </si>
  <si>
    <t>နည်းပြဆရာနှင့်နည်းပြသည်သူတို့ကိုယ်ပိုင်မှတ်စုများကိုသိမ်းဆည်းထားနိုင်သည်။</t>
  </si>
  <si>
    <t>ማስታወሻ የሚይዝ እያንዳንዱ ግለሰብ የራሱን ወረቀት ወይም የማስታወሻ ደብተር ይያዛል፡፡</t>
  </si>
  <si>
    <t>Munthu aliyense opanga zolemba amaziika pa pepala kapena pa kope lake.</t>
  </si>
  <si>
    <t>Kila mtu anayeandika maelezo hujiwekea karatasi au daftari lake  mwenyewe.</t>
  </si>
  <si>
    <t>မှတ်စုရေးသူတိုင်းသည်သူ / သူမ၏ကိုယ်ပိုင်စာရွက်သို့မဟုတ်မှတ်စုစာအုပ်ကိုဖြည့်စွက်ပေးသည်။</t>
  </si>
  <si>
    <t>Si les notes de coaching sont écrites, elles sont confidentielles et doivent être protégées de la vue des autres.</t>
  </si>
  <si>
    <t>የአሰልጣኝ ማስታወሻዎች ሚስጥራዊ በመሆናቸው በሌሎች እንዳይታዩ መጠበቅ ያስፈልጋቸዋል፡፡</t>
  </si>
  <si>
    <t>Ngati zolemba zophunzitsira  zidapangidwa, ndizobisika ndipo ziyenera kutetezedwa kuti zisamawoneke ndi ena.</t>
  </si>
  <si>
    <t>Ikiwa maelezo ya kufundisha yanaandaliwa, ni ya siri na yanahitaji kulindwa yasionekane na wengine.</t>
  </si>
  <si>
    <t>နည်းပြမှတ်စုများကိုပြုလုပ်ပါက ၄ င်းတို့သည်လျှို့ဝှက်ပြီးအခြားသူများမြင်ခြင်းမှကာကွယ်ရန်လိုအပ်သည်။</t>
  </si>
  <si>
    <t>FORMATION SUR LA CARTE GÉNÉRATIONNELLE</t>
  </si>
  <si>
    <t>የትውልዳዊ ንድፍ ስልጠና</t>
  </si>
  <si>
    <t xml:space="preserve"> MAPHUNZIRO A MAPU YA M'BADYO</t>
  </si>
  <si>
    <t>MAFUNZO YA KUCHORA RAMANI YA KIZAZI</t>
  </si>
  <si>
    <t>အထွေထွေမြေပုံရေးဆွဲခြင်းသင်တန်း</t>
  </si>
  <si>
    <t>የማስታወሻ 3: የማሰልጠኛ ምሳሌ</t>
  </si>
  <si>
    <t>Zowonjezera 3: Mafunso  Ophunzitsira</t>
  </si>
  <si>
    <t>Mwongozo wa 3: Maswali ya Kufundisha ya mfano</t>
  </si>
  <si>
    <t>လက်ကမ်းစာစောင် ၃ - နမူနာနည်းပြမေးခွန်းများ</t>
  </si>
  <si>
    <t xml:space="preserve"> የስልጠና ጥያቄዎች ምሳሌ</t>
  </si>
  <si>
    <t>Mafunso Oyerekeza pophunzitsa.</t>
  </si>
  <si>
    <t>Maswali ya Kufundisha ya mfano</t>
  </si>
  <si>
    <t>နမူနာနည်းပြမေးခွန်းများ</t>
  </si>
  <si>
    <t>Questions potentielles à poser lorsque vous remplissez la section Un, le diagramme de groupe en bonne santé, de l'outil de coaching pour la carte générationnelle:</t>
  </si>
  <si>
    <t>የትውልዳዊ ንድፍ ስልጠና ቅጽ ክፍል አንድን እና ጤናማ የቡድን ንድፍ ቅጽ በሚሞላበት ጊዜ ሊነሱ የሚችሉ ጥያቄዎች፤</t>
  </si>
  <si>
    <t>Mafunso Osavuta kufunsa Pamene Mukulemba gawo loyamba, Chithunzi cha Gulu lathanizi , la Zipangizo Zophunzitsira  Mapu Mapu a M'badyo:</t>
  </si>
  <si>
    <t>Maswali yenye uwezekano wa Kuuliza Wakati wa kujaza Sehemu ya kwanza, Mchoro wa Kikundi chenye Afya, wa Kifaa cha Kufundishia kuchora Ramani ya Kizazi:</t>
  </si>
  <si>
    <t>မျိုးဆက်မြေပုံရေးဆွဲရေးနည်းပြ၏အပိုင်း ၁၊ ကျန်းမာရေးအုပ်စု၏ပုံကြမ်းကိုဖြည့်သည့်အခါမေးရန်မေးခွန်းများ။</t>
  </si>
  <si>
    <t>ሀ.</t>
  </si>
  <si>
    <t>အေ</t>
  </si>
  <si>
    <t>ለ.</t>
  </si>
  <si>
    <t>ခ</t>
  </si>
  <si>
    <t>ሐ.</t>
  </si>
  <si>
    <t>ဂ</t>
  </si>
  <si>
    <t>၁ ။</t>
  </si>
  <si>
    <t>၂ ။</t>
  </si>
  <si>
    <t>၃ ။</t>
  </si>
  <si>
    <t>၄ ။</t>
  </si>
  <si>
    <t>၅ ။</t>
  </si>
  <si>
    <t>၆ ။</t>
  </si>
  <si>
    <t>၇ ။</t>
  </si>
  <si>
    <t>၈ ။</t>
  </si>
  <si>
    <t>၉ ။</t>
  </si>
  <si>
    <t>၁၀ ။</t>
  </si>
  <si>
    <t>၁၁ ။</t>
  </si>
  <si>
    <t>Debut de la section Une:</t>
  </si>
  <si>
    <t>የክፍል አንድ የላይኛው ቦታ</t>
  </si>
  <si>
    <t>Pamwamba pa Gawo Loyamba:</t>
  </si>
  <si>
    <t>Juu ya Sehemu ya Kwanza:</t>
  </si>
  <si>
    <t>အပိုင်း ၁ ၏ထိပ်ဆုံး -</t>
  </si>
  <si>
    <t>Combien de personnes participent à votre groupe maintenant?</t>
  </si>
  <si>
    <t>በአሁን ወቅት በቡድንህ ውስጥ ስንት ሰዎች እየተገኙ ነው?</t>
  </si>
  <si>
    <t>Ndi anthu angati omwe akupezeka pa gulu lanu tsopano?</t>
  </si>
  <si>
    <t>Je, ni watu wangapi wanaohudhuria kikundi chako sasa?</t>
  </si>
  <si>
    <t>သင့်အဖွဲ့ကိုလူဘယ်နှစ်ယောက်တက်ရောက်နေပြီလဲ။</t>
  </si>
  <si>
    <t>በቡድኑ ውስጥ አማኞች ስንት ናቸው? ባለፈው ጊዜ ውስጥ ምን ያህሉ አማኞች ሆነዋል (ለምሳሌ: ባፈው ሦስት ወራት)?</t>
  </si>
  <si>
    <t>Nanga ndiangati  okhulupirira mu gululi? Ndi angati amene anakhala okhulupilira mu nthawi yakumapeto (mwachitsanzo miyezi itatu)?</t>
  </si>
  <si>
    <t>Je, waumini ni wangapi katika kikundi hiki? Je, ni wangapi walifanyika waumini katika kipindi cha mwisho (kwa mfano miezi mitatu)?</t>
  </si>
  <si>
    <t>ယုံကြည်သူမည်မျှရှိသနည်း။ လွန်ခဲ့သောကာလ (ဥပမာ - သုံးလ) တွင်မည်မျှယုံကြည်သူများဖြစ်လာခဲ့သနည်း။</t>
  </si>
  <si>
    <t>በቡድኑ ውስጥ የተጠመቁ አማኞች ስንት ናቸው? ባለፈው ጊዜ ውስጥ የተጠመቁ አማኞች (በሶስት ወራት ውስጥ) ምን ያህል ናቸው?</t>
  </si>
  <si>
    <t>Ndi angati okhulupirira obatizidwa mu gululi? Ndi angati amene adakhala okhulupirira obatizidwa mu nthawi yakumapeto (mwachitsanzo miyezi itatu)?</t>
  </si>
  <si>
    <t>Je, ni wangapi waliobatizwa katika kikundi? Je, ni wangapi walifanyika waumini waliobatizwa katika kipindi cha mwisho (Kwa mfano miezi mitatu)?</t>
  </si>
  <si>
    <t>ထိုအုပ်စုတွင်နှစ်ခြင်းခံပြီးသောယုံကြည်သူမည်မျှရှိသနည်း။ လွန်ခဲ့သောကာလ (ဥပမာ - သုံးလ) တွင်နှစ်ခြင်းခံပြီးသောယုံကြည်သူများမည်မျှဖြစ်လာခဲ့သနည်း။</t>
  </si>
  <si>
    <t>Milieu de la section une:</t>
  </si>
  <si>
    <t>የክፍልአንድ መካከለኛ ቦታ፤</t>
  </si>
  <si>
    <t>Malo a Gawo Loyamba:</t>
  </si>
  <si>
    <t>Kituo cha Sehemu ya Kwanza:</t>
  </si>
  <si>
    <t>အပိုင်း ၁ ၏ဗဟို</t>
  </si>
  <si>
    <t>Le groupe s'est-il engagé ou les membres ont-ils convenu ensemble de devenir une église du Nouveau Testament pleinement fonctionnelle? Si c'est le cas, mettez le cercle en ligne continue. Sinon, conservez le cercle sous la forme d'une ligne pointillée.</t>
  </si>
  <si>
    <t>ቡድኑ ሙሉ በሙሉ አገልግሎት የሚሰጥ የአዲስ ኪዳን ቤተክርስቲያን ለመሆን ቃል ገብቷል? ከሆነ ክቡን በደማቅ መስመርአክብብ፡፡ ካልሆነ ግን በተቀራረጠ መስመር እንደተከበበ ተወው፡፡</t>
  </si>
  <si>
    <t>Kodi gululo ndilozipereka kapena ndilosinthika pamodzi  kuti likhale mpingo wamachita chita wa Chipangano Chatsopano? Ngati ndi choncho, pangani seko lolimba. Ngati sichoncho, sungani seko ngati mzere wosweka.</t>
  </si>
  <si>
    <t>Je, kikundi hiki kimejitolea au kukubaliana kwa pamoja ili kuwa kanisa la Agano Jipya linalofanya kazi kikamilifu? Ikiwa ndivyo, unda mduara imara. Ikiwa sio, endeleza mduara kama  mstari wenye vinukta.</t>
  </si>
  <si>
    <t>ဤအုပ်စုသည်ဓမ္မသစ်ဘုရားရှိခိုးကျောင်းအပြည့်အ ၀ ဖြစ်လာရန်အတူတကွကတိပြုထားပါသလား။ ရှိလျှင်စက်ဝိုင်းကိုအစိုင်အခဲဖြစ်စေပါ။ မရှိပါကစက်ဝိုင်းကို dashed line အဖြစ်ထားပါ။</t>
  </si>
  <si>
    <t>Laquelle des neuf activités d’une église du Nouveau Testament les membres de votre groupe exercent-ils régulièrement sans aucune aide extérieure? Au fur et à mesure que le planteur d’église identifie les activités, entourez chaque activité à l’intérieur du plus grand cercle. Entourez celles qui se trouvent à l’extérieur du plus grand cercle et que le groupe ne pratique pas tout seuls mais les membres ont un autre moyen de participer à cette activité. N'entourez pas l'activité à l'extérieur si les membres du groupe n'ont aucun moyen régulier de participer à cette activité.</t>
  </si>
  <si>
    <t>ከዘጠኙ የአዲስ ኪዳን ቤተክርስቲያን ተግባራት ውስጥ የቡድኑ አባላት ያለ ምንም የውጭ እርዳታ በቋሚነት  የሚያደርጉት የትኞቹን ነው? ቤተክርስቲያን ተካዩ ተግባሩን ሲለይ በትልቁ ክብ ውስጥ እያንዳንዱን ተግባር አክብብ፡፡ ቡድኑ በራሱ ማድረግ ባይችልም በዚህ ተግባር ውስጥ የሚሳተፉበት ሌላ መንገድ ያላቸው እንደሆነ ከትልቁ ክብ ውጪ አክብብ፡፡ የቡድኑ አባላት በዚህ ተግባር ውስጥ የሚሳተፉበት መደበኛ መንገድ የሌ እንደሆነ ተግባሩን ከክቡ ውጪም ቢሆን አታክብብ፡፡</t>
  </si>
  <si>
    <t>Ndi ziti mwa ntchito zisanu ndi zinai za mpingo wa Chipangano Chatsopano omwe ali mamembala a gulu lanu omachita nthawi zonse popanda thandizo la kunja? Monga wobzala mpingo  amazidziwa ntchitozo, zungulizani ntchito iliyonse mkati mwa seko lalikulu. Zungulizani zomwe zilikunja  kwa seko lalikulu kuti gulu silikuchita palokha koma ali ndi njira zina zogwira nawo ntchitoyi. Musazungulize  ntchito za kunja ngati mamembala a gulu sakhala nawo nthawi zonse kuti agwire ntchitoyi.</t>
  </si>
  <si>
    <t>Je, ni ipi kati ya kazi hizi  tisa za kanisa la Agano Jipya ni wajumbe wa kikundi chako wanaofanya mazoezi mara kwa mara bila msaada wowote wa nje? Mpanda kanisa anapotambua kazi, zungushia mduara kila kazi ndani ya mduara mkubwa. zizungushie mduara zile zilizo nje ya mduara mkubwa ambazo kikundi hakizishiriki chenyewe lakini wawe na njia nyingine ya kushiriki katika kazi hii. Usizungushie kazi kwa nje ikiwa washirika wa kikundi hawana njia ya kawaida ya kushiriki katika kazi hii.</t>
  </si>
  <si>
    <t>ဓမ္မသစ်ဘုရားရှိခိုးကျောင်း၏လုပ်ဆောင်ချက်ကိုးခုအနက်မှမည်သည့်ပြင်ပမှအကူအညီမပါဘဲသင်၏အဖွဲ့ ၀ င်များပုံမှန်လေ့ကျင့်ခန်းလုပ်သနည်း။ Church planter သည်လုပ်ဆောင်ချက်များကိုခွဲခြားသတ်မှတ်သည်နှင့်အမျှလုပ်ဆောင်မှုတစ်ခုစီကိုစက်ဝိုင်းကြီးထဲ၌ဝိုင်းပါ။ အုပ်စုသည်၎င်းတို့ကိုယ်တိုင်မကျင့်သုံးသော်၎င်းလုပ်ငန်းတွင်ပါ ၀ င်ရန်အခြားနည်းလမ်းရှိသည့်ပိုကြီးသောစက်ဝိုင်း၏အပြင်ဘက်ရှိသူတို့ကိုဝိုင်းပါ။ အကယ်၍ အဖွဲ့ ၀ င်များသည်ဤလုပ်ဆောင်မှုတွင်ပါ ၀ င်ရန်ပုံမှန်နည်းလမ်းမရှိပါကပြင်ပရှိလုပ်ဆောင်မှုကိုမဝိုင်းပါနှင့်။</t>
  </si>
  <si>
    <t>Comment évalueriez-vous l'efficacité du groupe dans cette activité? Si le groupe travaille sainement, entourez l'activité dans le cercle avec une ligne continue; si le groupe a besoin de travailler sur cette activité, entourez l’activité avec une ligne en pointillés.</t>
  </si>
  <si>
    <t>የዚህን ተግባር የቡድኑን አፈጻጸም እንዴት ትገመግመዋለህ? አተገባበሩጤናማ ከሆነ በደማቅ መስመር አክብብ፤ ደካማ ከሆነ ግን በተቆራረጠ መስመር አክብብ፡፡</t>
  </si>
  <si>
    <t>Kodi mungagwirizane bwanji momwe gululi likuchitira izi? Ngati akugwira ntchito mwa mphamvu, zungulizani ntchitoyo mkati mwa seko ndi mzere wolimba; ngati gulu likufunika kugwira ntchitoyi, zunguliza ntchitoyo ndi mzere wamadontho.</t>
  </si>
  <si>
    <t>Je, ni kwa ubora gani unapima jinsi ambavyo kikundi kinafanya kazi hii? Ikiwa kinafanya kazi kwa afya, zungushia mduara kwenye mduara wenye mstari imara; ikiwa kikundi kinahitajika kuifanyia kazi shughuli hii, zungushia mduara shughuli hii kwa mstari wenye vinukta.</t>
  </si>
  <si>
    <t>ဤအဖွဲ့၏လုပ်ဆောင်မှုကိုမည်မျှထိထိရောက်ရောက်သင်အကဲဖြတ်မည်နည်း။ ကျန်းမာစွာလည်ပတ်လျှင်စက်ဝိုင်းထဲရှိ function ကိုအစိုင်အခဲမျဉ်းကြောင်းဖြင့်ဝိုင်းပါ။ အကယ်၍ အုပ်စုသည်ဤလုပ်ဆောင်မှုကိုလုပ်ဆောင်ရန်လိုအပ်ပါကလှုပ်ရှားမှုအားမျဉ်းကြောင်းဖြင့်ဝိုင်းထားပါ။</t>
  </si>
  <si>
    <t>Questions potentielles à poser lorsque vous remplissez les sections deux et trois, sections Détails et objectifs de l'outil de coaching de la carte générationnelle:</t>
  </si>
  <si>
    <t>የትውልዳዊ ንድፍ ስልጠናዎችን ክፍል ሁለትና ሶስትን እና የዝርዝር ግቦችን በተመለከተ ሊጠየቁ የሚችሉ ጥያቄዎች፤</t>
  </si>
  <si>
    <t>Mafunso Osavuta kufunsa pamene mukulemba Mugawo lachiri ndi  Latatu,  Zotsatanetsatane ndi Gawo la Zolinga, la Zipangizo za Mapu a Maphunziro:</t>
  </si>
  <si>
    <t>Maswali yenye uwezekano wa Kuuliza Wakati wa kujaza Sehemu ya pili na ya  tatu, Sehemu za Maelezo na malengo, za Kifaa cha Kufundishia kuchora Ramani ya Kizazi:</t>
  </si>
  <si>
    <t>Generational Mapping Coaching Tool ၏အပိုင်း (၂) နှင့် (၃) အသေးစိတ်နှင့်ရည်မှန်းချက်များအပိုင်းများကိုဖြည့်ဆည်းသောအခါမေးရန်မေးခွန်းများ။</t>
  </si>
  <si>
    <t>ክፍል ሁለት፤</t>
  </si>
  <si>
    <t>Gawo Lachiwiri:</t>
  </si>
  <si>
    <t>Sehemu ya pili:</t>
  </si>
  <si>
    <t>အပိုင်းနှစ် -</t>
  </si>
  <si>
    <t>Que fait votre groupe en ce qui concerne cette activité? (Posez cette question pour chaque activité du groupe)</t>
  </si>
  <si>
    <t>ቡድንህ ለዚህ ተግባር ምን እያደረገ ነው? (ቡድኑ ለሚሰራው እያንዳንዱ ተግባር ይህንን ጥያቄ ጠይቅ)</t>
  </si>
  <si>
    <t>Kodi gulu lanu likuchita chiyani pa ntchitoyi? (Funsani funso ili pa ntchito iliyonse yomwe gulu likuchita)</t>
  </si>
  <si>
    <t>Je, kundi lako linafanya nini kwa  kazi hii? (Uliza swali hili kwa kila kazi ambayo kikundi kinafanya)</t>
  </si>
  <si>
    <t>ဒီအဖွဲ့အတွက်ဘာလုပ်ပေးလဲ။ (အဖွဲ့ကလုပ်ဆောင်နေသောလုပ်ဆောင်မှုတစ်ခုစီအတွက်ဤမေးခွန်းကိုမေးပါ။ )</t>
  </si>
  <si>
    <t>Vous avez indiqué que le groupe a besoin d'évoluer dans cette activité en traçant une ligne en pointillés. Que faudrait-il pour déplacer l'activité dans un cercle de ligne continue?</t>
  </si>
  <si>
    <t>ቡድኑ ማሻሻል ያለበትን ተግባር በተቆራረጠ ክብ አመልክተሃል፡፡ ይህን ተግባር ወደ ጠንካራ መስመር ለማሳደግ ምን ያስፈልጋል?</t>
  </si>
  <si>
    <t>Inu munawonetsa kuti gulu likufunika kukula mukuchita ntchitoyi pojambula mzere wamadonthomadontho. Kodi zingatheke bwanji kusuntha ntchitoyi ikhale pa mzere wolimba?</t>
  </si>
  <si>
    <t>Ulionyesha kwamba kikundi kinahitaji kukua katika kufanya kazi hii kwa kuchora mstari wenye vinukta. Je, itahitaji nini ili kuhamisha kazi kwenye mstari imara?</t>
  </si>
  <si>
    <t>သင်ဤအုပ်စုသည် dashed line ကိုဆွဲခြင်းအားဖြင့်ဤလုပ်ဆောင်မှုကိုလုပ်ဆောင်ရန်လိုအပ်သည်ဟုသင်ညွှန်ပြခဲ့သည်။ function ကိုအစိုင်အခဲမျဉ်းသို့ပြောင်းရန်ဘာလိုအပ်သနည်း။</t>
  </si>
  <si>
    <t>Comment pourriez-vous former ou coacher le groupe pour qu'il soit plus efficace dans cette activité? Quand pourriez-vous faire cela?</t>
  </si>
  <si>
    <t>በዚህ  ተግባር ይህ ቡድን ይበልጥ ውጤታማ እንዲሆን እንዴትማሰልጠን ትችላህ? መቼ ይህን ማድረግ ትችላለህ?</t>
  </si>
  <si>
    <t>Kodi mungaphunzitse bwanji gulu lanu kuti likhale lamachita chita amphamvu pa ntchitoyi? Kodi mungakwanitse kuchita liti?</t>
  </si>
  <si>
    <t>Je,  unaweza kufundisha au kuelekeza kikundi kuwa na ufanisi zaidi katika kazi hii? Je, unaweza kufanya hivi lini?</t>
  </si>
  <si>
    <t>ဤလုပ်ငန်းကိုပိုမိုထိရောက်စေရန်အုပ်စုကိုသင်ကြားပေးခြင်း၊ ဘယ်အချိန်မှာမင်းဒါလုပ်နိုင်ခဲ့တာလဲ</t>
  </si>
  <si>
    <t>Quelles sont les activités que le groupe n'exerce pas et qu'il devrait commencer ensuite pour devenir une église?</t>
  </si>
  <si>
    <t>ቡድኑ ቤተክርስትያን ወደ መሆን እንዲያድግ መጀመር የሚገባቸው ተግባሮች የትኞቹ ናቸው?</t>
  </si>
  <si>
    <t>Ndi ntchito ziti zomwe gulu silikuchita kodi ayenera  kuyamba kukhala mpingo?</t>
  </si>
  <si>
    <t>Je, ni kazi gani ambazo kundi halizifanyii kazi wanapaswa kuanza hivi karibuni ili kuwa kanisa?</t>
  </si>
  <si>
    <t>မည်သည့်လုပ်ငန်းဆောင်တာများကိုမကျင့်သုံးပါကနောက်ဘုရားရှိခိုးကျောင်းတစ်ခုတက်သင့်ပါသလဲ။</t>
  </si>
  <si>
    <t>Comment allez-vous aider le groupe à savoir qu'il s'agit d'une activité importante?</t>
  </si>
  <si>
    <t>ቡድኑ ይህ አስፈላጊ ተግባር መሆኑን እንዲገነዘብ እንዴት ታግዛቸዋለህ?</t>
  </si>
  <si>
    <t>Kodi mudzathandizira bwanji gulu kudziwa kuti ntchitoyi ndi yofunikira?</t>
  </si>
  <si>
    <t>Je, utawasaidiaje kikundi kujua kwamba hii ni kazi muhimu?</t>
  </si>
  <si>
    <t>၎င်းသည်အရေးကြီးသောလုပ်ဆောင်မှုတစ်ခုဖြစ်ကြောင်းအုပ်စုအားသင်မည်သို့သိအောင်ကူညီမည်နည်း။</t>
  </si>
  <si>
    <t>Comment allez-vous commencer à aider le groupe à commencer à faire  cette activité?</t>
  </si>
  <si>
    <t>ቡድኑን ይህን ተግባር እንዲጀምር እንዴት መርዳት ትጀምራለህ?</t>
  </si>
  <si>
    <t>Kodi mungayambe bwanji kuthandiza gulu kuyamba ntchitoyi?</t>
  </si>
  <si>
    <t>Je, Utaanzaje kuwasaidia kikundi kuanza kufanya kazi hii?</t>
  </si>
  <si>
    <t>ဒီအဖွဲ့ကိုစတင်အလုပ်လုပ်ဖို့သင်ဘယ်လိုကူညီမလဲ။</t>
  </si>
  <si>
    <t>ስለቡድኑ ወይም የቡድን ዐውድ ለመረዳት የሚያስችል ተጨማሪ መረጃ ምን ምንድነው?</t>
  </si>
  <si>
    <t>Nanga ndi khani ziti zowonjezera  zokhudzana ndi gululi kapena zochitika za gulu zomwe zimathandiza kumvetsetsa zomwe zikuchitika mu gululi?</t>
  </si>
  <si>
    <t>Je, ni maelezo gani ya ziada kuhusu kikundi au muktadha wa kikundi husaidia kuelewa ukweli wa kinachotokea katika kikundi?</t>
  </si>
  <si>
    <t>အုပ်စုသို့မဟုတ်အုပ်စု၏နောက်ခံအခြေအနေနှင့် ပတ်သက်၍ နောက်ထပ်အဘယ်အချက်အလက်များကအဖွဲ့အတွင်းဖြစ်ပျက်နေသည်ကိုအမှန်တကယ်နားလည်ရန်ကူညီသနည်း။</t>
  </si>
  <si>
    <t>ክፍል ሶስት፤</t>
  </si>
  <si>
    <t>Gawo Lachitatu:</t>
  </si>
  <si>
    <t>Sehemu ya tatu:</t>
  </si>
  <si>
    <t>အပိုင်းသုံး:</t>
  </si>
  <si>
    <t>Lorsque vous regardez ce que votre groupe fait ou ne fait pas, quel(s) est (sont) les objectifs les plus importants sur lesquels vous devez vous concentrer pour la période suivante (par exemple, trois mois)?</t>
  </si>
  <si>
    <t>ቡድንህ እያከናወነ ያለውንና ያሆነውን ስትመለከት ለሚቀጥለው ጊዜ (ለምሳሌ: ሦስት ወራቶች) ትኩረት መስጠት ያለብህ በጣም አስፈላጊ ግብ ምንድን ነው?</t>
  </si>
  <si>
    <t>Pamene mukuyang'ana zomwe gulu lanu likuchita kapena silikuchita, ndi chiyani chomwe chili chofunika kwambiri (zofunika)zomwe mukufuna kuziganizira pa nthawi yotsatira? (Mwachitsanzo miyezi itatu)?</t>
  </si>
  <si>
    <t>Je, unapoangalia kile ambacho kikundi chako kinafanya au hakifanyi, ni malengo gani muhimu zaidi ambayo unahitaji kuzingatia kwa kipindi kijacho (mfano miezi mitatu)?</t>
  </si>
  <si>
    <t>သင်၏အုပ်စုသည်အဘယ်အရာလုပ်ဆောင်နေသည်ကိုမကြည့်သည်နှင့်အမျှလာမည့်ကာလ (ဥပမာသုံးလ) အတွက်သင်အာရုံစိုက်ဖို့လိုသည့်အရေးကြီးဆုံးပန်းတိုင်များမှာအဘယ်နည်း။</t>
  </si>
  <si>
    <t>Quelles actions pourriez-vous entreprendre pour réaliser cet objectif? Quoi d'autre?</t>
  </si>
  <si>
    <t>ወደዚህ ግብ ለመድረስ መውሰድ ያለብህ እርምጃዎች ምንድናቸው? ሌላስ?</t>
  </si>
  <si>
    <t>Kodi ndi zochitika ziti zomwe mungachite kuti muthe kupita ku cholinga ichi? China ndi chiyani?</t>
  </si>
  <si>
    <t>Je, ni hatua gani za utendaji ambazo unaweza kuchukua ili kujihusisha na lengo hili? Nini kingine?</t>
  </si>
  <si>
    <t>ဒီရည်မှန်းချက်ကိုရောက်ဖို့ကိုယ့်ကိုယ်ကိုဘယ်လိုလှုပ်ရှားမှုမျိုးလုပ်နိုင်လဲ။ ဘာကျန်သေးလဲ?</t>
  </si>
  <si>
    <t>ይህንን ለማድረግ የገጠሙህ ተግዳሮቶች ምንድናቸው?</t>
  </si>
  <si>
    <t>Ndi mavuto ati omwe mumakumana nawo mderali?</t>
  </si>
  <si>
    <t>Je, ni changamoto gani unazokabiliana nazo katika eneo hili?</t>
  </si>
  <si>
    <t>ဒီinရိယာထဲမှာဘာစိန်ခေါ်မှုတွေကိုသင်ကြုံတွေ့ရသလဲ။</t>
  </si>
  <si>
    <t>እነዚህን ተግዳሮቶች ለማሸነፍ ምን ማድረግ ትችላለህ?</t>
  </si>
  <si>
    <t>Kodi mungatani kuti muthane ndi mavutowa?</t>
  </si>
  <si>
    <t>Je, ungeweza kufanya nini kushinda changamoto hizi?</t>
  </si>
  <si>
    <t>ဤစိန်ခေါ်မှုများကိုကျော်လွှားနိုင်ရန်သင်အဘယ်အရာပြုလုပ်နိုင်သနည်း။</t>
  </si>
  <si>
    <t>እስካሁን የሞከርከው ነገር አለ? ሙከራዎችህ ምን ልዩነት አመጡ?</t>
  </si>
  <si>
    <t>Kodi ndiziti zomwe mwayera  kale kuchita? Kodi ndikusintha kwanji komwe zochitika  zanu zinapanga ?</t>
  </si>
  <si>
    <t>Je, ni nini ambacho tayari umejaribu? Je, Matendo yako yalifanya tofauti gani?</t>
  </si>
  <si>
    <t>မင်းဘာတွေကြိုးစားပြီးပြီလဲ မင်းရဲ့လုပ်ရပ်ကဘာကိုထူးခြားစေတာလဲ။</t>
  </si>
  <si>
    <t>ማን ሊረዳህ ይችላል?</t>
  </si>
  <si>
    <t>Ndani angakuthandizeni?</t>
  </si>
  <si>
    <t>Je, ni nani anayeweza kukusaidia?</t>
  </si>
  <si>
    <t>မင်းကိုဘယ်သူကူညီနိုင်လဲ</t>
  </si>
  <si>
    <t>ሌሎች ምን ነገሮችን መጠቀም ትችላለህ?</t>
  </si>
  <si>
    <t>Ndizinthu zina ziti zomwe mungagwiritse ntchito?</t>
  </si>
  <si>
    <t>Je, ni nyenzo gani  nyingine ambazo unaweza kutumia?</t>
  </si>
  <si>
    <t>အခြားမည်သည့်အရင်းအမြစ်များကိုသင်အသုံးပြုနိုင်သနည်း။</t>
  </si>
  <si>
    <t>Qu'avez-vous vu d'autres faire qui pourrait fonctionner pour vous?</t>
  </si>
  <si>
    <t>ሌሎች ሰዎች ሲያደርጉ ያየኸው አንተም ልታደርገው የምትችላቸው ነገሮች አሉ?</t>
  </si>
  <si>
    <t>Kodi mwaona chiyani china  chomwe mwaona ena akuchita zomwe zingakuthandizeni inu?</t>
  </si>
  <si>
    <t>Je, umeona wengine wakifanya nini ambacho kinaweza kukufanyia kazi?</t>
  </si>
  <si>
    <t>သင့်အတွက်အကျိုးရှိစေနိုင်သည့်အခြားသူများကိုသင်ဘာမြင်သနည်း။</t>
  </si>
  <si>
    <t>Quelles mesures allez-vous prendre au cours de la prochaine période (par exemple trois mois)? Entourez-les ou mettez un astérique  ou une marque autour d'elles.</t>
  </si>
  <si>
    <t>በቀጣዩ ጊዜ ምን እርምጃዎችን ትወስዳለህ (ለምሳሌ፤ ሦስት ወራት)? አክብበት ወይም ኮከብ አድርግበት ወይም ምልክት አድርግበት፡፡</t>
  </si>
  <si>
    <t>Kodi ndi zochitika ziti zomwe mungatenge nthawi yotsatira (mwachitsanzo miyezi itatu)? Lembani mzere kuzungulira kapena kuika nyenyezi kapena kufufuza chizindikiro pambali pawo.</t>
  </si>
  <si>
    <t>Je, ni hatua gani za utendaji utakazochukua katika kipindi kinacho kuja (kwa mfano miezi mitatu)? Zizungushie mduara au kuweka nyota au angalia alama karibu nazo.</t>
  </si>
  <si>
    <t>လာမည့်ကာလ (ဥပမာ - သုံးလ) တွင်မည်သည့်လုပ်ဆောင်မှုအဆင့်များကိုသင်လုပ်ဆောင်မည်နည်း။ သူတို့ကိုဝိုင်း။ သို့မဟုတ်ကြယ်တစ်ပွင့်ကိုတင်ပါသို့မဟုတ်သူတို့ဘေးတွင်အမှတ်အသားပြုပါ။</t>
  </si>
  <si>
    <t>A quelle date limite allez-vous réaliser chacune de ces mesures?</t>
  </si>
  <si>
    <t xml:space="preserve"> እነዚህን እርምጃዎች መቼ ትወስዳለህ?</t>
  </si>
  <si>
    <t>Kufikira liti limene mudzatenga gawo  liliyonse ndikuchita?</t>
  </si>
  <si>
    <t>Je, ni kwa wakati gani utachukua kila moja ya hatua hizi za utendaji?</t>
  </si>
  <si>
    <t>မည်သည့်အချိန်တွင်ဤလုပ်ဆောင်မှုအဆင့်တစ်ခုစီကိုသင်မည်သည့်အချိန်တွင်ဆောင်ရွက်မည်နည်း။</t>
  </si>
  <si>
    <t>Qui doit faire quoi pour vous aider à accomplir ces mesures? Écrivez les noms à côté de la mesure.</t>
  </si>
  <si>
    <t>እነዚህን እርምጃዎች ለማከናወን እንዲረዳህ ማን ምን ማድረግ ይኖርበታል? ልታከናውነው ካሰብከው እርምጃ ቀጥሎ ስማቸውን ጻፍ፡፡</t>
  </si>
  <si>
    <t>Ndindani  akufuna  kuchita  angakuthandizeni bwanji  kukwaniritsa magawo awa? Lembani mayina pansi pa gawo la ntchito.</t>
  </si>
  <si>
    <t>Je, ni nani anahitaji kufanya nini ili kukusaidia kukamilisha hatua hizi za utendaji? Andika majina karibu na hatua ya utendaji.</t>
  </si>
  <si>
    <t>ဒီလုပ်ဆောင်မှုအဆင့်တွေကိုပြီးမြောက်အောင်သင်ဘာလုပ်ဖို့ဘယ်သူလုပ်သင့်သလဲ။ လုပ်ဆောင်ချက်အဆင့်ဘေးရှိအမည်များကိုချရေးပါ။</t>
  </si>
  <si>
    <t>Questions potentielles à poser lors du remplissage de la section quatre, la  section de la prochaine génération de l'outil de la carte générationnelle:</t>
  </si>
  <si>
    <t>በትውልዳዊ ንድፍ ክፍል አራትና በቀጣዩ የትውልድ ክፍል ቅጽ ሲሞላ ላይ ሊጠይቁ የሚችሉ ጥያቄዎች፤</t>
  </si>
  <si>
    <t>Mafunso Osavuta kufunsa pamen Mukulemba  Gawo Lachinai, Gawo la M'badyo Wotsatira, la Chida cha Mapu a M'badyo.</t>
  </si>
  <si>
    <t>Maswali Yanayowezekana Kuuliza Wakati Unapojaza Sehemu ya Nne, sehemu ya Kizazi kinachofuata, ya Kifaa cha kuchorea Ramani ya Kizazi:</t>
  </si>
  <si>
    <t>မျိုးဆက်မြေပုံလမ်းညွှန်၏နောက်မျိုးဆက်အပိုင်း၊ အပိုင်း ၄ ကိုဖြည့်သည့်အခါမေးရန်မေးခွန်းများ။</t>
  </si>
  <si>
    <t>Comment coachez-vous ces leaders de la prochaine génération?</t>
  </si>
  <si>
    <t>እነዚህን የቀጣይ ትውልድ መሪዎች እንዴት እያሰለጠንካቸው ነው?</t>
  </si>
  <si>
    <t>Kodi  mumaphunzitsa  bwanji atsogoleri a m'badyo wotsatirawu?</t>
  </si>
  <si>
    <t>Je, unawafundishaje viongozi hawa wa kizazi kinachofuata?</t>
  </si>
  <si>
    <t>ဒီမျိုးဆက်သစ်ခေါင်းဆောင်တွေကိုသင်ဘယ်လိုနည်းပြသင်ပေးနေတာလဲ။</t>
  </si>
  <si>
    <t>በአንተ አሰልጣኝነትውጤታማ የሆነው ምንድነው?</t>
  </si>
  <si>
    <t>Nchiyani chikugwira ntchito bwino mu kuphunzitsa kwanu?</t>
  </si>
  <si>
    <t>Je, ni kitu gani kinakwenda vizuri katika ufundishaji wako?</t>
  </si>
  <si>
    <t>သင့်ရဲ့နည်းပြအတွက်ဘာအလုပ်လုပ်သလဲ</t>
  </si>
  <si>
    <t>እነዚህን መሪዎች በማሰልጠን ረገድ  እርዳታ የሚያስፈልግህ የቱ ጋር ነው?</t>
  </si>
  <si>
    <t>Kodi ndimbali yiti yikufunika chithandizo pophunzitsa atsogoleriwa?</t>
  </si>
  <si>
    <t>Je, ni wapi unahitaji msaada katika kuwafundisha viongozi hawa?</t>
  </si>
  <si>
    <t>ဒီခေါင်းဆောင်တွေကိုဘယ်နေရာမှာနည်းပြသင်ပေးမှာလဲ။</t>
  </si>
  <si>
    <t>Quelles activités les groupes accomplissent-ils bien dans les groupes de la prochaine génération? Où luttent-ils ou ont-ils besoin d'aide?</t>
  </si>
  <si>
    <t>በእነዚህ ቀጣይ ትውልዶች ውስጥ ቡድኖቹ ምን ዓይነት ተግባራት እያከናወኑ ነው? የሚቸገሩበት ወይም እርዳታ የሚፈልጉት የቱ ጋር ነው?</t>
  </si>
  <si>
    <t>Ndi ntchito zanji zomwe magulu amachita bwino mumagulu a m'badyo wotsatira ? Kodi akuvutika pati kapena akusowa thandizo?</t>
  </si>
  <si>
    <t>Je, ni kazi gani makundi haya yanafanya vizuri katika makundi haya ya vizazi vinavyofuata? Je, ni wapi wanapambana au wanahitaji msaada?</t>
  </si>
  <si>
    <t>ဤမျိုးဆက်သစ်အုပ်စုများတွင်အဖွဲ့များသည်မည်သည့်လုပ်ငန်းဆောင်တာများလုပ်ဆောင်နေကြသနည်း။ သူတို့ဘယ်မှာရုန်းကန်သို့မဟုတ်အကူအညီလိုအပ်သလဲ?</t>
  </si>
  <si>
    <t>De quelle formation chaque leader et groupe ont-ils besoin?</t>
  </si>
  <si>
    <t>እያንዳንዱ መሪ እና ቡድን ምን ዓይነት ስልጠና ያስፈልገዋል?</t>
  </si>
  <si>
    <t>Kodi ndi maphunziro otani omwe mtsogoleri aliyense  ndi gulu amafunika?</t>
  </si>
  <si>
    <t>Je, ni mafunzo gani kila kiongozi na kikundi wanayohitaji?</t>
  </si>
  <si>
    <t>ခေါင်းဆောင်တစ် ဦး ချင်းနှင့်အဖွဲ့တစ်ဖွဲ့စီသည်မည်သည့်သင်တန်းများလိုအပ်သနည်း။</t>
  </si>
  <si>
    <t>Par qui et comment cette formation sera-t-elle donnée?</t>
  </si>
  <si>
    <t>ይህ ስልጠና በማን እና እንዴት ይሰጣል?</t>
  </si>
  <si>
    <t>Ndani ndipo maphunziro amenewa adzaperekedwa motani?</t>
  </si>
  <si>
    <t>Je, ni nani na jinsi gani mafunzo haya yatatolewa?</t>
  </si>
  <si>
    <t>ဒီသင်တန်းကိုမည်သူနှင့်မည်ကဲ့သို့ပေးမည်နည်း။</t>
  </si>
  <si>
    <t>Que faites-vous pour encourager, soutenir, prier et tenir ces leaders redevables?</t>
  </si>
  <si>
    <t>እነዚህን መሪዎች ለማበረታታት፣ ለመደገፍ፣ ለመጸለይ እና ተጠያቂ ለማድረግ ምን እያደረግህ ነው?</t>
  </si>
  <si>
    <t>Mukuchita chiyani kulimbikitsa , kuthandiza, kupempherera, ndi kusonkhanitsa  atsogoleriwa?</t>
  </si>
  <si>
    <t>Je, unafanya nini ili kuwahimiza, kuwasaidia, kuwaombea, na kuwafanya viongozi hawa kuwajibika?</t>
  </si>
  <si>
    <t>ဤခေါင်းဆောင်များအားအားပေးကူညီရန်၊ ကူညီရန်၊ ဆုတောင်းရန်နှင့်တာဝန်ယူရန်သင်ဘာလုပ်နေလဲ။</t>
  </si>
  <si>
    <t>Quels sont votre objectif et les mesures lorsque vous coachez chaque leader au cours de la prochaine période (par exemple trois mois)?</t>
  </si>
  <si>
    <t>በሚቀጥለው ጊዜ (ለምሳሌ: ሦስት ወራቶች) እያንዳንዱን መሪ በምታሰለጥንበት ጊዜ የአንተ ግብ እና እርምጃዎች  ምንድን ናቸው?</t>
  </si>
  <si>
    <t>Kodi cholinga chanu ndichani   pamene mukuphunzitsa mtsogoleri aliyense mu nthawi yotsatirayi ndi magawo a ntchito (mwachitsanzo miyezi itatu)?</t>
  </si>
  <si>
    <t>Je, ni lipi lengo na hatua zako za utendaji unapomfundisha kila kiongozi katika kipindi kinachofuata (kwa mfano miezi mitatu)?</t>
  </si>
  <si>
    <t>နောက်လာမည့်ကာလ (ဥပမာ - သုံးလ) တွင်ခေါင်းဆောင်တစ် ဦး စီကိုသင်ညွှန်ကြားနေစဉ်သင်၏ရည်မှန်းချက်နှင့်လုပ်ဆောင်မှုအဆင့်များကားအဘယ်နည်း။</t>
  </si>
  <si>
    <t>Data</t>
  </si>
  <si>
    <t>AMH</t>
  </si>
  <si>
    <t>NYA</t>
  </si>
  <si>
    <t>SWA</t>
  </si>
  <si>
    <t>BUR</t>
  </si>
  <si>
    <t>CMZ</t>
  </si>
  <si>
    <t>CNH</t>
  </si>
  <si>
    <t>Română (Romanian) -</t>
  </si>
  <si>
    <t>Grupos</t>
  </si>
  <si>
    <t>Nuevos grupos</t>
  </si>
  <si>
    <t>Groupes</t>
  </si>
  <si>
    <t>Nouveaux groupes</t>
  </si>
  <si>
    <t>গ্রুপ</t>
  </si>
  <si>
    <t>নতুন গ্রুপ</t>
  </si>
  <si>
    <t>Emplacement du formateur</t>
  </si>
  <si>
    <t>Ubicación del entrenador</t>
  </si>
  <si>
    <t>ቡድኖች</t>
  </si>
  <si>
    <t>አዲስ ቡድኖች</t>
  </si>
  <si>
    <t>አሰልጣኝ ሥፍራ</t>
  </si>
  <si>
    <t>Magulu</t>
  </si>
  <si>
    <t>Magulu Atsopano</t>
  </si>
  <si>
    <t>Malo Ophunzitsira</t>
  </si>
  <si>
    <t>Vikundi</t>
  </si>
  <si>
    <t>Vikundi vipya</t>
  </si>
  <si>
    <t>Mkufunzi wa eneo</t>
  </si>
  <si>
    <t>LnamGnamSdat</t>
  </si>
  <si>
    <t>Team</t>
  </si>
  <si>
    <t>leaderName</t>
  </si>
  <si>
    <t>groupName</t>
  </si>
  <si>
    <t>dateStart</t>
  </si>
  <si>
    <t>groupLocation</t>
  </si>
  <si>
    <t>motherGroup</t>
  </si>
  <si>
    <t>groupAttendance</t>
  </si>
  <si>
    <t>totalBelievers</t>
  </si>
  <si>
    <t>newBelievers</t>
  </si>
  <si>
    <t>totalBaptized</t>
  </si>
  <si>
    <t>newBaptized</t>
  </si>
  <si>
    <t>applyBible</t>
  </si>
  <si>
    <t>Evangelism</t>
  </si>
  <si>
    <t>LordsSupper</t>
  </si>
  <si>
    <t>Giving</t>
  </si>
  <si>
    <t>Baptism</t>
  </si>
  <si>
    <t>userDef1</t>
  </si>
  <si>
    <t>userDef2</t>
  </si>
  <si>
    <t>userDef3</t>
  </si>
  <si>
    <t>userDef4</t>
  </si>
  <si>
    <t>extra</t>
  </si>
  <si>
    <t>trainerLocation</t>
  </si>
  <si>
    <t>groupID</t>
  </si>
  <si>
    <t>isChurch</t>
  </si>
  <si>
    <t>healthSum</t>
  </si>
  <si>
    <t>healthAvg</t>
  </si>
  <si>
    <t>dateFrom</t>
  </si>
  <si>
    <t>dateTo</t>
  </si>
  <si>
    <t>dateCollected</t>
  </si>
  <si>
    <t>ministryPartner</t>
  </si>
  <si>
    <t>Denomination</t>
  </si>
  <si>
    <t>lat</t>
  </si>
  <si>
    <t>lon</t>
  </si>
  <si>
    <t xml:space="preserve"> ਪੰਜਾਬੀ (Punjabi) -</t>
  </si>
  <si>
    <t>පරම්පරාගත සිතියම්කරණ පුහුණු මෙවලම</t>
  </si>
  <si>
    <t>Công cụ huấn luyện lập bản đồ thế hệ</t>
  </si>
  <si>
    <t>Instrument de antrenare pentru cartografiere generațională</t>
  </si>
  <si>
    <t>જનરેશનલ મેપિંગ કોચિંગ ટૂલ</t>
  </si>
  <si>
    <t>ਜਨਰੇਸ਼ਨਲ ਮੈਪਿੰਗ ਕੋਚਿੰਗ ਟੂਲ</t>
  </si>
  <si>
    <t>කණ්ඩායමේ / පල්ලියේ නම</t>
  </si>
  <si>
    <t>Tên nhóm / nhà thờ</t>
  </si>
  <si>
    <t>Numele grupului / bisericii</t>
  </si>
  <si>
    <t>જૂથ / ચર્ચ નામ</t>
  </si>
  <si>
    <t>ਸਮੂਹ / ਚਰਚ ਦਾ ਨਾਮ</t>
  </si>
  <si>
    <t>ආරම්භ කළ දිනය</t>
  </si>
  <si>
    <t>Ngày bắt đầu</t>
  </si>
  <si>
    <t>Data începerii</t>
  </si>
  <si>
    <t>તારીખ શરૂ થઈ</t>
  </si>
  <si>
    <t>ਤਾਰੀਖ ਸ਼ੁਰੂ ਹੋਈ</t>
  </si>
  <si>
    <t>පරම්පරාව</t>
  </si>
  <si>
    <t>Thế hệ</t>
  </si>
  <si>
    <t>Generaţie</t>
  </si>
  <si>
    <t>પેrationી</t>
  </si>
  <si>
    <t>ਪੀੜ੍ਹੀ</t>
  </si>
  <si>
    <t>නායකයාගේ නම</t>
  </si>
  <si>
    <t>Tên người lãnh đạo</t>
  </si>
  <si>
    <t>Numele conducătorului</t>
  </si>
  <si>
    <t>નેતાનું નામ</t>
  </si>
  <si>
    <t>ਲੀਡਰ ਦਾ ਨਾਮ</t>
  </si>
  <si>
    <t>ස්ථානය</t>
  </si>
  <si>
    <t>Vị trí</t>
  </si>
  <si>
    <t>Locație</t>
  </si>
  <si>
    <t>સ્થાન</t>
  </si>
  <si>
    <t>ਟਿਕਾਣਾ</t>
  </si>
  <si>
    <t>මව් කණ්ඩායම / පල්ලිය</t>
  </si>
  <si>
    <t>Nhóm mẹ / Nhà thờ</t>
  </si>
  <si>
    <t>Grup de mame / Biserică</t>
  </si>
  <si>
    <t>મધર ગ્રુપ / ચર્ચ</t>
  </si>
  <si>
    <t>ਮਦਰ ਗਰੁੱਪ / ਚਰਚ</t>
  </si>
  <si>
    <t>Nombre del socio</t>
  </si>
  <si>
    <t>අමාත්‍යාංශ සහකරු</t>
  </si>
  <si>
    <t>Đối tác Bộ</t>
  </si>
  <si>
    <t>Partener al Ministerului</t>
  </si>
  <si>
    <t>મંત્રાલય ભાગીદાર</t>
  </si>
  <si>
    <t>ਮੰਤਰਾਲੇ ਦਾ ਸਾਥੀ</t>
  </si>
  <si>
    <t>සිට</t>
  </si>
  <si>
    <t>Từ</t>
  </si>
  <si>
    <t>Din</t>
  </si>
  <si>
    <t>થી</t>
  </si>
  <si>
    <t>ਤੋਂ</t>
  </si>
  <si>
    <t>වෙත</t>
  </si>
  <si>
    <t>Đến</t>
  </si>
  <si>
    <t>La</t>
  </si>
  <si>
    <t>પ્રતિ</t>
  </si>
  <si>
    <t>ਨੂੰ</t>
  </si>
  <si>
    <t>එකතු කරන ලදී</t>
  </si>
  <si>
    <t>Đã thu thập</t>
  </si>
  <si>
    <t>adunat</t>
  </si>
  <si>
    <t>એકત્ર</t>
  </si>
  <si>
    <t>ਇਕੱਤਰ ਕੀਤਾ</t>
  </si>
  <si>
    <t>ඉදිරි මාස තුන සඳහා මගේ ඉලක්කය හෝ ඉලක්ක මොනවාද?</t>
  </si>
  <si>
    <t>Mục tiêu hoặc mục tiêu của tôi trong ba tháng tới là gì?</t>
  </si>
  <si>
    <t>Care este scopul sau obiectivele mele pentru următoarele trei luni?</t>
  </si>
  <si>
    <t>આગામી ત્રણ મહિના માટે મારું લક્ષ્ય અથવા લક્ષ્યો શું છે?</t>
  </si>
  <si>
    <t>ਅਗਲੇ ਤਿੰਨ ਮਹੀਨਿਆਂ ਲਈ ਮੇਰਾ ਟੀਚਾ ਜਾਂ ਟੀਚਾ ਕੀ ਹੈ?</t>
  </si>
  <si>
    <t>මෙම ඉලක්කය හෝ අරමුණු සාක්ෂාත් කර ගැනීම සඳහා මා ගත යුතු පියවර මොනවාද?</t>
  </si>
  <si>
    <t>Tôi sẽ cần thực hiện những bước nào để đạt được mục tiêu này?</t>
  </si>
  <si>
    <t>Ce pași trebuie să fac pentru a atinge acest obiectiv sau obiective?</t>
  </si>
  <si>
    <t>આ લક્ષ્ય અથવા લક્ષ્યોને પ્રાપ્ત કરવા માટે મારે કયા પગલા લેવાની જરૂર છે?</t>
  </si>
  <si>
    <t>ਇਸ ਟੀਚੇ ਜਾਂ ਟੀਚਿਆਂ ਨੂੰ ਪ੍ਰਾਪਤ ਕਰਨ ਲਈ ਮੈਨੂੰ ਕਿਹੜੇ ਕਦਮ ਚੁੱਕਣ ਦੀ ਜ਼ਰੂਰਤ ਹੋਏਗੀ?</t>
  </si>
  <si>
    <t>මෙම පියවර සිදු කරන්නේ කවදාද?</t>
  </si>
  <si>
    <t>Khi nào thì bước này được thực hiện?</t>
  </si>
  <si>
    <t>Când se va face acest pas?</t>
  </si>
  <si>
    <t>આ પગલું ક્યારે થશે?</t>
  </si>
  <si>
    <t>ਇਹ ਕਦਮ ਕਦੋਂ ਹੋਵੇਗਾ?</t>
  </si>
  <si>
    <t>මට උදව් ඉල්ලන්නේ කාටද? මට අවශ්‍ය ද්‍රව්‍ය මොනවාද?</t>
  </si>
  <si>
    <t>Tôi có thể nhờ ai giúp đỡ? Tôi cần những vật liệu gì?</t>
  </si>
  <si>
    <t>Cui pot să cer ajutorul? Ce materiale am nevoie?</t>
  </si>
  <si>
    <t>હું કોને મદદ કરવા માટે કહી શકું? મારે કઈ સામગ્રીની જરૂર છે?</t>
  </si>
  <si>
    <t>ਮੈਂ ਮਦਦ ਲਈ ਕੌਣ ਕਹਿ ਸਕਦਾ ਹਾਂ? ਮੈਨੂੰ ਕਿਹੜੀ ਸਮੱਗਰੀ ਦੀ ਜਰੂਰਤ ਹੈ?</t>
  </si>
  <si>
    <t>පුහුණුකරුවා</t>
  </si>
  <si>
    <t>Huấn luyện viên</t>
  </si>
  <si>
    <t>Antrenor</t>
  </si>
  <si>
    <t>કોચ</t>
  </si>
  <si>
    <t>ਕੋਚ</t>
  </si>
  <si>
    <t>යාච්ඤාව</t>
  </si>
  <si>
    <t>Người cầu nguyện</t>
  </si>
  <si>
    <t>Rugăciune</t>
  </si>
  <si>
    <t>પ્રાર્થના</t>
  </si>
  <si>
    <t>ਪ੍ਰਾਰਥਨਾ</t>
  </si>
  <si>
    <t>සාමාජිකත්වය</t>
  </si>
  <si>
    <t>Tình bằng hữu</t>
  </si>
  <si>
    <t>tovărășie</t>
  </si>
  <si>
    <t>ફેલોશિપ</t>
  </si>
  <si>
    <t>ਫੈਲੋਸ਼ਿਪ</t>
  </si>
  <si>
    <t>නමස්කාරය</t>
  </si>
  <si>
    <t>Thờ cúng</t>
  </si>
  <si>
    <t>Cult</t>
  </si>
  <si>
    <t>પૂજા</t>
  </si>
  <si>
    <t>ਪੂਜਾ, ਭਗਤੀ</t>
  </si>
  <si>
    <t>බයිබලය යොදන්න</t>
  </si>
  <si>
    <t>Áp dụng Kinh thánh</t>
  </si>
  <si>
    <t>Aplicați Biblia</t>
  </si>
  <si>
    <t>બાઇબલ લાગુ કરો</t>
  </si>
  <si>
    <t>ਬਾਈਬਲ ਲਾਗੂ ਕਰੋ</t>
  </si>
  <si>
    <t>එවැන්ජලිස්ත සේවය</t>
  </si>
  <si>
    <t>Truyền giáo</t>
  </si>
  <si>
    <t>Evanghelizare</t>
  </si>
  <si>
    <t>પ્રચાર કરો</t>
  </si>
  <si>
    <t>ਖੁਸ਼ਖਬਰੀ</t>
  </si>
  <si>
    <t>ස්වාමීන්ගේ සන්ධ්‍යා භෝජනය</t>
  </si>
  <si>
    <t>Bữa tối của Chúa</t>
  </si>
  <si>
    <t>Cina Domnului</t>
  </si>
  <si>
    <t>લોર્ડસ સપર</t>
  </si>
  <si>
    <t>ਪ੍ਰਭੂ ਦਾ ਰਾਤ ਦਾ ਖਾਣਾ</t>
  </si>
  <si>
    <t>දෙන්න</t>
  </si>
  <si>
    <t>Đưa cho</t>
  </si>
  <si>
    <t>Da</t>
  </si>
  <si>
    <t>આપો</t>
  </si>
  <si>
    <t>ਦਿਓ</t>
  </si>
  <si>
    <t>බව්තීස්ම වන්න</t>
  </si>
  <si>
    <t>Rửa tội</t>
  </si>
  <si>
    <t>Boteza</t>
  </si>
  <si>
    <t>બાપ્તિસ્મા આપો</t>
  </si>
  <si>
    <t>ਬਪਤਿਸਮਾ ਦਿਓ</t>
  </si>
  <si>
    <t>කම්කරු</t>
  </si>
  <si>
    <t>Công nhân</t>
  </si>
  <si>
    <t>Muncitorii</t>
  </si>
  <si>
    <t>કામદારો</t>
  </si>
  <si>
    <t>ਕਾਮੇ</t>
  </si>
  <si>
    <t>වෙනත් විස්තර</t>
  </si>
  <si>
    <t>Những chi tiết khác</t>
  </si>
  <si>
    <t>Alte detalii</t>
  </si>
  <si>
    <t>અન્ય વિગતો</t>
  </si>
  <si>
    <t>ਹੋਰ ਵੇਰਵਾ</t>
  </si>
  <si>
    <t>.</t>
  </si>
  <si>
    <t>කණ්ඩායම් තොරතුරු</t>
  </si>
  <si>
    <t>Thông tin nhóm</t>
  </si>
  <si>
    <t>Informații de grup</t>
  </si>
  <si>
    <t>જૂથ માહિતી</t>
  </si>
  <si>
    <t>ਸਮੂਹ ਜਾਣਕਾਰੀ</t>
  </si>
  <si>
    <t>සටහන්</t>
  </si>
  <si>
    <t>Ghi chú</t>
  </si>
  <si>
    <t>notițe</t>
  </si>
  <si>
    <t>નોંધો</t>
  </si>
  <si>
    <t>ਨੋਟ</t>
  </si>
  <si>
    <t>(ඉහත කොටු 3 හි දිනයන් ඇතුළත් කරන්න)</t>
  </si>
  <si>
    <t>(nhập ngày tháng vào 3 ô trên)</t>
  </si>
  <si>
    <t>(introduceți datele în cele 3 căsuțe de mai sus)</t>
  </si>
  <si>
    <t>(ઉપરના 3 બ boxesક્સમાં તારીખો દાખલ કરો)</t>
  </si>
  <si>
    <t>(ਉਪਰੋਕਤ 3 ਬਕਸੇ ਵਿੱਚ ਤਾਰੀਖਾਂ ਦਰਜ ਕਰੋ)</t>
  </si>
  <si>
    <t>သင်တန်းဆရာတည်နေရာ</t>
  </si>
  <si>
    <t>トレーナーの場所</t>
  </si>
  <si>
    <t>ट्रेनर का स्थान</t>
  </si>
  <si>
    <t>Localização do instrutor</t>
  </si>
  <si>
    <t>பயிற்சியாளர் இருப்பிடம்</t>
  </si>
  <si>
    <t>ట్రైనర్ స్థానం</t>
  </si>
  <si>
    <t>Расположение тренера</t>
  </si>
  <si>
    <t>Treeneri asukoht</t>
  </si>
  <si>
    <t>Antrenè Kote</t>
  </si>
  <si>
    <t>트레이너 위치</t>
  </si>
  <si>
    <t>පුහුණුකරු ස්ථානය</t>
  </si>
  <si>
    <t>Vị trí huấn luyện viên</t>
  </si>
  <si>
    <t>Locația formatorului</t>
  </si>
  <si>
    <t>ટ્રેનર સ્થાન</t>
  </si>
  <si>
    <t>ਟ੍ਰੇਨਰ ਸਥਿਤੀ</t>
  </si>
  <si>
    <t>දිනයන්</t>
  </si>
  <si>
    <t>ngày</t>
  </si>
  <si>
    <t>Datele</t>
  </si>
  <si>
    <t>તારીખ</t>
  </si>
  <si>
    <t>ਤਾਰੀਖ</t>
  </si>
  <si>
    <t>ရက်စွဲကို“ from” နှင့်“ to” (ပုံစံပေါ်ရှိဒေတာအတွက်အချိန်ကာလ) နှင့်“ စုဆောင်းထား” (tags session ၏နေ့စွဲ) တွင်ဖော်ပြထားသော box များ၌ထည့်ပါ။</t>
  </si>
  <si>
    <t>「from」および「to」（フォーム上のデータの期間）および「collected」（コーチングセッションの日付）というラベルの付いたボックスに日付を入力します。</t>
  </si>
  <si>
    <t>Insira as datas nas caixas rotuladas "de" e "para" (período de tempo para os dados no formulário) e "coletadas" (data da sessão de coaching).</t>
  </si>
  <si>
    <t>నుండి మరియు "నుండి" లేబుల్ చేసిన పెట్టెల్లో తేదీలను నమోదు చేయండి (ఫారమ్‌లోని డేటా కోసం కాల వ్యవధి) మరియు "సేకరించినవి" (కోచింగ్ సెషన్ తేదీ.)</t>
  </si>
  <si>
    <t>Введите даты в поля «от» и «до» (период времени для данных в форме) и «собранные» (дата сеанса коучинга).</t>
  </si>
  <si>
    <t>Sisestage kuupäevad kastidesse sildiga "alates" ja "kuni" (ajavorm andmete kohta vormis) ja "kogutud" (juhendamise sessiooni kuupäev).</t>
  </si>
  <si>
    <t>Antre dat nan bwat ki make "soti nan" ak "nan" (peryòd tan pou done yo sou fòm nan) ak "kolekte" (dat sesyon an antrenè.)</t>
  </si>
  <si>
    <t>시작및 "종료"(양식의 데이터 기간) 및 "수집"(코칭 세션 날짜) 상자에 날짜를 입력합니다.</t>
  </si>
  <si>
    <t>සිට සහ "සිට" දක්වා ලේබල් කර ඇති පෙට්ටිවල දිනයන් ඇතුළත් කරන්න (පෝරමයේ දත්ත සඳහා කාල සීමාව) සහ "එකතු කරන ලද" (පුහුණු සැසියේ දිනය.)</t>
  </si>
  <si>
    <t>Nhập ngày vào các hộp có nhãn "từ" và "đến" (khoảng thời gian cho dữ liệu trên biểu mẫu) và "thu thập" (ngày của phiên huấn luyện.)</t>
  </si>
  <si>
    <t>Introduceți datele în casetele etichetate „de la” și „la” (perioada de timp pentru datele din formular) și „colectate” (data sesiunii de antrenament.)</t>
  </si>
  <si>
    <t>થી અને "થી" (ફોર્મ પરના ડેટા માટેનો સમયગાળો) અને "એકત્રિત" (કોચિંગ સત્રની તારીખ.) ના લેબલવાળા બ inક્સમાં તારીખો દાખલ કરો.</t>
  </si>
  <si>
    <t>ਤੋਂ ਅਤੇ "ਤੋਂ" ਲੇਬਲ ਵਾਲੇ ਬਕਸੇ ਵਿਚ ਤਾਰੀਖਾਂ ਦਾਖਲ ਕਰੋ (ਫਾਰਮ ਵਿਚਲੇ ਡੇਟਾ ਲਈ ਸਮਾਂ ਅਵਧੀ) ਅਤੇ "ਇਕੱਠੇ ਕੀਤੇ" (ਕੋਚਿੰਗ ਸੈਸ਼ਨ ਦੀ ਤਰੀਕ.)</t>
  </si>
  <si>
    <t>Eu iria</t>
  </si>
  <si>
    <t>мне бы</t>
  </si>
  <si>
    <t>Tôi</t>
  </si>
  <si>
    <t>આઈડી</t>
  </si>
  <si>
    <t>ਆਈਡੀ</t>
  </si>
  <si>
    <t>グループに割り当てられた一意の識別番号またはコードを入力します。</t>
  </si>
  <si>
    <t>Digite o número de identificação exclusivo ou código atribuído ao grupo.</t>
  </si>
  <si>
    <t>குழுவிற்கு ஒதுக்கப்பட்ட தனிப்பட்ட அடையாள எண் அல்லது குறியீட்டை உள்ளிடவும்.</t>
  </si>
  <si>
    <t>Sisestage grupile unikaalne identifitseerimisnumber või kood.</t>
  </si>
  <si>
    <t>그룹에 할당 된 고유 식별 번호 또는 코드를 입력합니다.</t>
  </si>
  <si>
    <t>කණ්ඩායමට ලබා දී ඇති අද්විතීය හඳුනාගැනීමේ අංකය හෝ කේතය ඇතුළත් කරන්න.</t>
  </si>
  <si>
    <t>Nhập số nhận dạng duy nhất hoặc mã được gán cho nhóm.</t>
  </si>
  <si>
    <t>Introduceți numărul unic de identificare sau codul asociat grupului.</t>
  </si>
  <si>
    <t>જૂથમાં જોડાયેલ અનન્ય ઓળખ નંબર અથવા કોડ દાખલ કરો.</t>
  </si>
  <si>
    <t>ਸਮੂਹ ਨੂੰ ਮੰਨਿਆ ਗਿਆ ਵਿਲੱਖਣ ਪਛਾਣ ਨੰਬਰ ਜਾਂ ਕੋਡ ਦਰਜ ਕਰੋ.</t>
  </si>
  <si>
    <t>အုပ်စုများ</t>
  </si>
  <si>
    <t>団体</t>
  </si>
  <si>
    <t>समूह</t>
  </si>
  <si>
    <t>குழுக்கள்</t>
  </si>
  <si>
    <t>గుంపులు</t>
  </si>
  <si>
    <t>группы</t>
  </si>
  <si>
    <t>Grupid</t>
  </si>
  <si>
    <t>Gwoup yo</t>
  </si>
  <si>
    <t>여러 떼</t>
  </si>
  <si>
    <t>කණ්ඩායම්</t>
  </si>
  <si>
    <t>Các nhóm</t>
  </si>
  <si>
    <t>Grupuri</t>
  </si>
  <si>
    <t>જૂથો</t>
  </si>
  <si>
    <t>ਸਮੂਹ</t>
  </si>
  <si>
    <t>အုပ်စုအသစ်များ</t>
  </si>
  <si>
    <t>新しいグループ</t>
  </si>
  <si>
    <t>नए समूह</t>
  </si>
  <si>
    <t>Novos Grupos</t>
  </si>
  <si>
    <t>புதிய குழுக்கள்</t>
  </si>
  <si>
    <t>కొత్త గుంపులు</t>
  </si>
  <si>
    <t>Новые группы</t>
  </si>
  <si>
    <t>Uued rühmad</t>
  </si>
  <si>
    <t>Gwoup nouvo</t>
  </si>
  <si>
    <t>새 그룹</t>
  </si>
  <si>
    <t>නව කණ්ඩායම්</t>
  </si>
  <si>
    <t>Nhóm mới</t>
  </si>
  <si>
    <t>Grupuri noi</t>
  </si>
  <si>
    <t>નવા જૂથો</t>
  </si>
  <si>
    <t>ਨਵੇਂ ਸਮੂਹ</t>
  </si>
  <si>
    <t>ඉක්මන් යොමු මාර්ගෝපදේශය</t>
  </si>
  <si>
    <t>Hướng dẫn sử dụng nhanh</t>
  </si>
  <si>
    <t>Ghid rapid de referință</t>
  </si>
  <si>
    <t>ઝડપી સંદર્ભ માર્ગદર્શિકા</t>
  </si>
  <si>
    <t>ਤੇਜ਼ ਹਵਾਲਾ ਗਾਈਡ</t>
  </si>
  <si>
    <t>පරම්පරාගත සිතියම්කරණ පුහුණු මෙවලම යනු කණ්ඩායමක සෞඛ්‍යය හා ක්‍රියාකාරිත්වය පිළිබඳ පුහුණු සැසියකින් තොරතුරු සටහන් කර ගත හැකි ස්ථානයකි. විස්තර සාමාන්‍යයෙන් මාස තුනක කාලයක් (වර්ෂයෙන් හතරෙන් එකක්) නියෝජනය කරන කාලයක සිට වේ. මෙය පළමු මාසය ආරම්භයේ සිට තුන්වන මාසය අවසානය දක්වා වේ.</t>
  </si>
  <si>
    <t>Công cụ Huấn luyện Lập bản đồ Thế hệ là nơi ghi lại các thông tin chi tiết từ một buổi huấn luyện về sức khỏe và chức năng của một nhóm. Các chi tiết là thời gian thường đại diện cho khoảng thời gian ba tháng (một phần tư trong năm.) Đây là từ đầu tháng đầu tiên đến cuối tháng thứ ba.</t>
  </si>
  <si>
    <t>Instrumentul de instruire pentru cartografiere generațională este un loc pentru a înregistra detalii dintr-o sesiune de coaching despre sănătatea și funcțiile unui grup. Detaliile sunt de la o perioadă care reprezintă de obicei o perioadă de trei luni (un sfert din an.) Aceasta este de la începutul primei luni până la sfârșitul celei de-a treia luni.</t>
  </si>
  <si>
    <t>જનરેશનલ મેપિંગ કોચિંગ ટૂલ એ એક જૂથના આરોગ્ય અને કાર્યો વિશેના કોચિંગ સત્રમાંથી વિગતો રેકોર્ડ કરવા માટેનું સ્થળ છે. વિગતો તે સમયની છે જે સામાન્ય રીતે ત્રણ મહિનાનો સમયગાળો રજૂ કરે છે (વર્ષના એક ક્વાર્ટર.) આ પ્રથમ મહિનાની શરૂઆતથી લઈને ત્રીજા મહિનાના અંત સુધીનો છે.</t>
  </si>
  <si>
    <t>ਜਨਰੇਸ਼ਨਲ ਮੈਪਿੰਗ ਕੋਚਿੰਗ ਟੂਲ ਇਕ ਜਗ੍ਹਾ ਹੈ ਜੋ ਕਿਸੇ ਸਮੂਹ ਦੀ ਸਿਹਤ ਅਤੇ ਕਾਰਜਾਂ ਬਾਰੇ ਕੋਚਿੰਗ ਸੈਸ਼ਨ ਤੋਂ ਵੇਰਵੇ ਰਿਕਾਰਡ ਕਰਨ ਲਈ ਹੈ. ਵੇਰਵੇ ਉਸ ਸਮੇਂ ਦੇ ਹਨ ਜੋ ਆਮ ਤੌਰ ਤੇ ਤਿੰਨ ਮਹੀਨੇ ਦੀ ਮਿਆਦ (ਸਾਲ ਦੇ ਇੱਕ ਤਿਮਾਹੀ) ਨੂੰ ਦਰਸਾਉਂਦੇ ਹਨ. ਇਹ ਪਹਿਲੇ ਮਹੀਨੇ ਦੀ ਸ਼ੁਰੂਆਤ ਤੋਂ ਤੀਜੇ ਮਹੀਨੇ ਦੇ ਅੰਤ ਤੱਕ ਹੈ.</t>
  </si>
  <si>
    <t>සෞඛ්‍ය සම්පන්න කණ්ඩායම් රූප සටහන</t>
  </si>
  <si>
    <t>Sơ đồ nhóm khỏe mạnh</t>
  </si>
  <si>
    <t>Diagrama grupului sănătos</t>
  </si>
  <si>
    <t>સ્વસ્થ જૂથ ડાયાગ્રામ</t>
  </si>
  <si>
    <t>ਸਿਹਤਮੰਦ ਸਮੂਹ ਡਾਇਗਰਾਮ</t>
  </si>
  <si>
    <t>(1 වන කොටස)</t>
  </si>
  <si>
    <t>(Phần 1)</t>
  </si>
  <si>
    <t>(sectiunea 1)</t>
  </si>
  <si>
    <t>(વિભાગ 1)</t>
  </si>
  <si>
    <t>(ਭਾਗ 1)</t>
  </si>
  <si>
    <t>කණ්ඩායම් ප්‍රමිතික</t>
  </si>
  <si>
    <t>Chỉ số nhóm</t>
  </si>
  <si>
    <t>Metrici de grup</t>
  </si>
  <si>
    <t>ગ્રુપ મેટ્રિક્સ</t>
  </si>
  <si>
    <t>ਸਮੂਹ ਮੈਟ੍ਰਿਕਸ</t>
  </si>
  <si>
    <t>පෙට්ටිවල ඉහළ පේළියේ, එක් එක් සංකේතය යටතේ කොටුවේ එක් එක් කාණ්ඩය සඳහා අංකය සටහන් කරන්න.</t>
  </si>
  <si>
    <t>Trong hàng trên cùng của hộp, ghi lại số cho từng danh mục trong hộp dưới mỗi ký hiệu.</t>
  </si>
  <si>
    <t>În rândul de sus al casetelor, înregistrați numărul pentru fiecare categorie din casetă sub fiecare simbol.</t>
  </si>
  <si>
    <t>બ ofક્સની ટોચની પંક્તિમાં, દરેક પ્રતીક હેઠળ બ inક્સમાં દરેક કેટેગરીની સંખ્યા રેકોર્ડ કરો.</t>
  </si>
  <si>
    <t>ਬਕਸੇ ਦੀ ਉਪਰਲੀ ਕਤਾਰ ਵਿਚ, ਬਾਕਸ ਵਿਚ ਹਰੇਕ ਪ੍ਰਤੀਕ ਦੇ ਹੇਠਾਂ ਹਰੇਕ ਸ਼੍ਰੇਣੀ ਲਈ ਨੰਬਰ ਦਰਜ ਕਰੋ.</t>
  </si>
  <si>
    <t>කණ්ඩායම් පැමිණීම</t>
  </si>
  <si>
    <t>Tham dự nhóm</t>
  </si>
  <si>
    <t>Participare la grup</t>
  </si>
  <si>
    <t>જૂથની હાજરી</t>
  </si>
  <si>
    <t>ਸਮੂਹ ਹਾਜ਼ਰੀ</t>
  </si>
  <si>
    <t>කණ්ඩායමේ සිටින මුළු ඇදහිලිවන්තයන්</t>
  </si>
  <si>
    <t>Tổng số tín đồ trong nhóm</t>
  </si>
  <si>
    <t>Total credincioși din grup</t>
  </si>
  <si>
    <t>જૂથના કુલ વિશ્વાસીઓ</t>
  </si>
  <si>
    <t>ਸਮੂਹ ਵਿੱਚ ਵਿਸ਼ਵਾਸੀ</t>
  </si>
  <si>
    <t>මෙම කාලය තුළ කණ්ඩායමේ නව විශ්වාස කරන්නන්</t>
  </si>
  <si>
    <t>Những tín đồ mới trong nhóm kỳ này</t>
  </si>
  <si>
    <t>Noi credincioși din grup în această perioadă</t>
  </si>
  <si>
    <t>આ સમયગાળામાં જૂથમાં નવા માને છે</t>
  </si>
  <si>
    <t>ਇਸ ਮਿਆਦ ਵਿੱਚ ਸਮੂਹ ਵਿੱਚ ਨਵੇਂ ਵਿਸ਼ਵਾਸੀ</t>
  </si>
  <si>
    <t>කණ්ඩායමේ බව්තීස්ම වූ මුළු එකතුව</t>
  </si>
  <si>
    <t>Tổng số người được rửa tội trong nhóm</t>
  </si>
  <si>
    <t>Total botezat în grup</t>
  </si>
  <si>
    <t>કુલ જૂથ માં બાપ્તિસ્મા</t>
  </si>
  <si>
    <t>ਸਮੂਹ ਵਿਚ ਬਪਤਿਸਮਾ ਲਿਆ</t>
  </si>
  <si>
    <t>මෙම කාලය තුළ කණ්ඩායමේ අලුතින් බව්තීස්ම විය</t>
  </si>
  <si>
    <t>Mới được rửa tội trong nhóm giai đoạn này</t>
  </si>
  <si>
    <t>Nou botezat în grup în această perioadă</t>
  </si>
  <si>
    <t>આ સમયગાળામાં જૂથમાં નવા બાપ્તિસ્મા લીધા</t>
  </si>
  <si>
    <t>ਇਸ ਸਮੇਂ ਸਮੂਹ ਵਿੱਚ ਨਵਾਂ ਬਪਤਿਸਮਾ ਲਿਆ</t>
  </si>
  <si>
    <t>ඔබේ කණ්ඩායම අතිරේක අභිරුචි අර්ථ දක්වා ඇති කාණ්ඩ සටහන් කරන්නේ නම් පමණක් දෙවන පේළි පෙට්ටි භාවිතා කරන්න. පවරා ඇති අංකයට ඉහළින් ඇති කොටුවේ එක් එක් කාණ්ඩය සටහන් කරන්න.</t>
  </si>
  <si>
    <t>Chỉ sử dụng hàng hộp thứ hai nếu nhóm của bạn đang ghi thêm các danh mục được xác định tùy chỉnh. Ghi lại từng danh mục vào ô phía trên con số được chỉ định.</t>
  </si>
  <si>
    <t>Utilizați al doilea rând de casete numai dacă grupul dvs. înregistrează categorii suplimentare definite personalizate. Înregistrați fiecare categorie în caseta de deasupra numărului atribuit.</t>
  </si>
  <si>
    <t>જો તમારું જૂથ અતિરિક્ત કસ્ટમ વ્યાખ્યાયિત કેટેગરીઝ રેકોર્ડ કરી રહ્યું હોય તો જ બ boxesક્સની બીજી પંક્તિનો ઉપયોગ કરો. સોંપાયેલ સંખ્યાની ઉપરના બ boxક્સમાં દરેક વર્ગને રેકોર્ડ કરો.</t>
  </si>
  <si>
    <t>ਬਾਕਸ ਦੀ ਦੂਸਰੀ ਕਤਾਰ ਸਿਰਫ ਤਾਂ ਹੀ ਵਰਤੋ ਜੇ ਤੁਹਾਡਾ ਸਮੂਹ ਵਾਧੂ ਕਸਟਮ ਪਰਿਭਾਸ਼ਿਤ ਸ਼੍ਰੇਣੀਆਂ ਨੂੰ ਰਿਕਾਰਡ ਕਰ ਰਿਹਾ ਹੈ. ਹਰੇਕ ਸ਼੍ਰੇਣੀ ਨੂੰ ਨਿਰਧਾਰਤ ਨੰਬਰ ਦੇ ਉੱਪਰ ਦਿੱਤੇ ਬਾਕਸ ਵਿੱਚ ਰਿਕਾਰਡ ਕਰੋ.</t>
  </si>
  <si>
    <t>කණ්ඩායම් කාර්යයන්</t>
  </si>
  <si>
    <t>Chức năng nhóm</t>
  </si>
  <si>
    <t>Funcții de grup</t>
  </si>
  <si>
    <t>જૂથ કાર્યો</t>
  </si>
  <si>
    <t>ਸਮੂਹ ਕਾਰਜ</t>
  </si>
  <si>
    <t>විශාල කවය සොයා ගන්න.</t>
  </si>
  <si>
    <t>Theo dõi vòng tròn lớn hơn.</t>
  </si>
  <si>
    <t>Trasează cercul mai mare.</t>
  </si>
  <si>
    <t>મોટા વર્તુળને ટ્રેસ કરો.</t>
  </si>
  <si>
    <t>ਵੱਡੇ ਚੱਕਰ ਦਾ ਪਤਾ ਲਗਾਓ.</t>
  </si>
  <si>
    <t>පල්ලියක් ලෙස කණ්ඩායම එකට බැඳී සිටී නම් line න රේඛාවක් භාවිතා කරන්න.</t>
  </si>
  <si>
    <t>Sử dụng một đường liền mạch nếu nhóm đã cam kết cùng nhau như một nhà thờ.</t>
  </si>
  <si>
    <t>Folosiți o linie solidă dacă grupul s-a angajat împreună ca biserică.</t>
  </si>
  <si>
    <t>જો જૂથે ચર્ચ તરીકે મળીને પ્રતિબદ્ધતા દાખવી હોય તો નક્કર લાઇનનો ઉપયોગ કરો.</t>
  </si>
  <si>
    <t>ਇਕ ਠੋਸ ਲਾਈਨ ਦੀ ਵਰਤੋਂ ਕਰੋ ਜੇ ਸਮੂਹ ਨੇ ਇਕ ਚਰਚ ਵਜੋਂ ਇਕੱਠੇ ਪ੍ਰਤੀਬੱਧਤਾ ਕੀਤੀ ਹੈ.</t>
  </si>
  <si>
    <t>කණ්ඩායම පල්ලියක් ලෙස කැපවී නොමැති නම් ඉරුණු ඉරෙන් ඉවත් වන්න.</t>
  </si>
  <si>
    <t>Để lại đường đứt nét nếu nhóm chưa cam kết như một nhà thờ.</t>
  </si>
  <si>
    <t>Lăsați linia punctată dacă grupul nu s-a angajat ca biserică.</t>
  </si>
  <si>
    <t>જો જૂથે કોઈ ચર્ચ તરીકે પ્રતિબદ્ધતા ન લીધી હોય, તો ડેશિંગ લાઇન છોડી દો.</t>
  </si>
  <si>
    <t>ਖਿੰਡਾਉਣ ਵਾਲੀ ਲਾਈਨ ਨੂੰ ਛੱਡ ਦਿਓ ਜੇ ਸਮੂਹ ਨੇ ਚਰਚ ਵਜੋਂ ਵਚਨਬੱਧਤਾ ਨਹੀਂ ਬਣਾਈ ਹੈ.</t>
  </si>
  <si>
    <t>එක් එක් කාර්යය සඳහා සංකේතයක් වටා කුඩා කවයක් අඳින්න.</t>
  </si>
  <si>
    <t>Vẽ một vòng tròn nhỏ hơn xung quanh một biểu tượng cho mỗi chức năng.</t>
  </si>
  <si>
    <t>Desenați un cerc mai mic în jurul unui simbol pentru fiecare funcție.</t>
  </si>
  <si>
    <t>દરેક કાર્ય માટે પ્રતીકની આસપાસ એક નાનું વર્તુળ દોરો.</t>
  </si>
  <si>
    <t>ਹਰੇਕ ਫੰਕਸ਼ਨ ਦੇ ਪ੍ਰਤੀਕ ਦੇ ਦੁਆਲੇ ਇੱਕ ਛੋਟਾ ਜਿਹਾ ਚੱਕਰ ਕੱ Draੋ.</t>
  </si>
  <si>
    <t>කණ්ඩායමේ සාමාජිකයන් බාහිර උදව් නොමැතිව කාර්යයකට නිතිපතා සහභාගී වන්නේ නම් විශාල කවය තුළ ඇති line න රේඛාවකින් සංකේතය රවුම් කරන්න.</t>
  </si>
  <si>
    <t>Khoanh tròn biểu tượng bằng một đường liền nét nằm bên trong vòng tròn lớn hơn nếu các thành viên của nhóm tham gia thường xuyên vào một chức năng mà không có sự trợ giúp từ bên ngoài.</t>
  </si>
  <si>
    <t>Încercuiește simbolul cu o linie solidă care se află în interiorul cercului mai mare dacă membrii grupului participă regulat la o funcție fără ajutor din afară.</t>
  </si>
  <si>
    <t>જો જૂથના સભ્યો બહારની મદદ વગર કાર્યમાં નિયમિતપણે ભાગ લેતા હોય તો મોટા વર્તુળની અંદરની એક નક્કર રેખા સાથે પ્રતીકને વર્તુળ કરો.</t>
  </si>
  <si>
    <t>ਚਿੰਨ੍ਹ ਨੂੰ ਇਕ ਠੋਸ ਲਾਈਨ ਨਾਲ ਚੱਕਰ ਲਗਾਓ ਜੋ ਵੱਡੇ ਚੱਕਰ ਵਿਚ ਹੁੰਦਾ ਹੈ ਜੇ ਸਮੂਹ ਦੇ ਮੈਂਬਰ ਬਾਕਾਇਦਾ ਮਦਦ ਤੋਂ ਬਗੈਰ ਕਿਸੇ ਕਾਰਜ ਵਿਚ ਨਿਯਮਿਤ ਤੌਰ ਤੇ ਹਿੱਸਾ ਲੈਂਦੇ ਹਨ.</t>
  </si>
  <si>
    <t>ඔබ සංවර්ධනය කරමින් සිටින හෝ කළ හැකි කාර්යයන් සඳහා ඉරුණු ඉරකින් සංකේතය රවුම් කරන්න, නමුත් ඇත්ත වශයෙන්ම මෙම විශේෂිත කාල සීමාව තුළ එය සිදු නොවීය.</t>
  </si>
  <si>
    <t>Khoanh tròn biểu tượng bằng một đường đứt nét cho các chức năng bạn đang phát triển hoặc có thể thực hiện, nhưng không thực sự làm trong khoảng thời gian cụ thể này.</t>
  </si>
  <si>
    <t>Încercuiește simbolul cu o linie punctată pentru funcțiile pe care le lucrezi sau pe care le poți îndeplini, dar nu le-ai făcut în realitate în această perioadă de timp.</t>
  </si>
  <si>
    <t>તમે વિકસિત કામ કરી શકો છો અથવા કરવા માટે સક્ષમ છો તેવા કાર્યો માટે છૂટાછવાયા વાક્ય સાથે પ્રતીકને વર્તુળ કરો, પરંતુ આ ચોક્કસ સમયગાળામાં ખરેખર તે કર્યું નથી.</t>
  </si>
  <si>
    <t>ਉਨ੍ਹਾਂ ਕਾਰਜਾਂ ਲਈ ਡੈਸ਼ਡ ਲਾਈਨ ਨਾਲ ਚਿੰਨ੍ਹ ਦਾ ਚੱਕਰ ਲਗਾਓ ਜੋ ਤੁਸੀਂ ਵਿਕਸਿਤ ਕਰਨ ਤੇ ਕੰਮ ਕਰ ਰਹੇ ਹੋ ਜਾਂ ਕਰਨ ਦੇ ਯੋਗ ਹੋ, ਪਰ ਅਸਲ ਵਿੱਚ ਇਸ ਵਿਸ਼ੇਸ਼ ਸਮੇਂ ਦੀ ਮਿਆਦ ਵਿੱਚ ਨਹੀਂ ਕੀਤਾ.</t>
  </si>
  <si>
    <t>කණ්ඩායම තනිවම සහභාගී නොවන්නේ නම් විශාල කවයෙන් පිටත සංකේතය රවුම් කරන්න, නමුත් මෙම ශ්‍රිතයට සහභාගී වීමට වෙනත් ක්‍රමයක් තිබේ.</t>
  </si>
  <si>
    <t>Khoanh tròn biểu tượng bên ngoài vòng tròn lớn hơn nếu nhóm không tự mình tham gia nhưng có cách khác để tham gia vào chức năng này.</t>
  </si>
  <si>
    <t>Încercuiește simbolul în afara cercului mai mare dacă grupul nu participă pe cont propriu, dar au un alt mod de a participa la această funcție.</t>
  </si>
  <si>
    <t>જો જૂથ તેમના પોતાના પર ભાગ લેતું નથી, તો મોટા વર્તુળની બહાર પ્રતીકને વર્તુળ કરો, પરંતુ આ કાર્યમાં ભાગ લેવાની બીજી રીત તમારી પાસે છે.</t>
  </si>
  <si>
    <t>ਚਿੰਨ੍ਹ ਨੂੰ ਵੱਡੇ ਚੱਕਰ ਦੇ ਬਾਹਰ ਚੱਕਰ ਲਗਾਓ ਜੇ ਸਮੂਹ ਆਪਣੇ ਆਪ ਵਿਚ ਹਿੱਸਾ ਨਹੀਂ ਲੈ ਰਿਹਾ ਹੈ, ਪਰ ਇਸ ਕਾਰਜ ਵਿਚ ਹਿੱਸਾ ਲੈਣ ਲਈ ਇਕ ਹੋਰ ਤਰੀਕਾ ਹੈ.</t>
  </si>
  <si>
    <t>කණ්ඩායමේ සාමාජිකයින්ට මෙම කාර්යයට සහභාගී වීමට නිත්‍ය ක්‍රමයක් නොමැති නම් සංකේතය රවුම් නොකරන්න.</t>
  </si>
  <si>
    <t>Không khoanh tròn biểu tượng nếu các thành viên của nhóm không có cách nào thường xuyên tham gia vào chức năng này.</t>
  </si>
  <si>
    <t>Nu încercați simbolul dacă membrii grupului nu au o modalitate regulată de a participa la această funcție.</t>
  </si>
  <si>
    <t>જો જૂથના સભ્યો પાસે આ કાર્યમાં ભાગ લેવાની નિયમિત રીત ન હોય તો પ્રતીકને વર્તુળમાં ન લખો.</t>
  </si>
  <si>
    <t>ਜੇ ਸਮੂਹ ਦੇ ਮੈਂਬਰਾਂ ਕੋਲ ਇਸ ਸਮਾਰੋਹ ਵਿਚ ਹਿੱਸਾ ਲੈਣ ਲਈ ਕੋਈ ਨਿਯਮਤ ਤਰੀਕਾ ਨਹੀਂ ਹੈ ਤਾਂ ਚਿੰਨ੍ਹ ਨੂੰ ਘੇਰੋ ਨਾ.</t>
  </si>
  <si>
    <t>ලේබල් කර ඇති පරිදි මෙම කොටසේ පතුලේ ඇති කොටු පුරවන්න. පරිස්සමින් නිරවද්‍යතාවය පසුකාලීන යොමු කිරීම සඳහා තොරතුරු එකට තබා ගනී. මෙම කණ්ඩායම අනෙක් කණ්ඩායම් සමඟ ඇති සම්බන්ධතාවය ද එය පෙන්වයි. පුහුණු සැසිවාරයට පෙර මෙම තොරතුරු පිරවිය හැකිය.</t>
  </si>
  <si>
    <t>Điền vào các ô ở cuối phần này như được dán nhãn. Cẩn thận chính xác giữ thông tin với nhau để tham khảo sau này. Nó cũng cho thấy sự kết nối của nhóm này với các nhóm khác. Thông tin này có thể được điền trước buổi huấn luyện.</t>
  </si>
  <si>
    <t>Completați casetele din partea de jos a acestei secțiuni, așa cum este etichetat. Precizia atentă păstrează informațiile pentru referințe ulterioare. De asemenea, arată conexiunea acestui grup la alte grupuri. Aceste informații pot fi completate înainte de sesiunea de antrenament.</t>
  </si>
  <si>
    <t>લેબલવાળા આ વિભાગના તળિયે બ inક્સ ભરો. સાવચેતીપૂર્વક ચોકસાઈ પછીના સંદર્ભ માટે માહિતીને સાથે રાખે છે. તે અન્ય જૂથો સાથે આ જૂથનું જોડાણ પણ બતાવે છે. આ માહિતી કોચિંગ સત્ર પહેલાં ભરી શકાય છે.</t>
  </si>
  <si>
    <t>ਇਸ ਭਾਗ ਦੇ ਹੇਠਾਂ ਦਿੱਤੇ ਬਕਸੇ ਨੂੰ ਜਿਵੇਂ ਲੇਬਲ ਲਗਾਇਆ ਗਿਆ ਹੈ ਭਰੋ. ਧਿਆਨ ਨਾਲ ਸ਼ੁੱਧਤਾ ਬਾਅਦ ਦੇ ਹਵਾਲੇ ਲਈ ਜਾਣਕਾਰੀ ਨੂੰ ਇਕੱਠੇ ਰੱਖਦੀ ਹੈ. ਇਹ ਹੋਰ ਸਮੂਹਾਂ ਨਾਲ ਇਸ ਸਮੂਹ ਦਾ ਸੰਬੰਧ ਵੀ ਦਰਸਾਉਂਦਾ ਹੈ. ਇਹ ਜਾਣਕਾਰੀ ਕੋਚਿੰਗ ਸੈਸ਼ਨ ਤੋਂ ਪਹਿਲਾਂ ਭਰੀ ਜਾ ਸਕਦੀ ਹੈ.</t>
  </si>
  <si>
    <t>විස්තර</t>
  </si>
  <si>
    <t>Chi tiết</t>
  </si>
  <si>
    <t>Detalii</t>
  </si>
  <si>
    <t>વિગતો</t>
  </si>
  <si>
    <t>ਵੇਰਵਾ</t>
  </si>
  <si>
    <t>(2 වන කොටස)</t>
  </si>
  <si>
    <t>(phần 2)</t>
  </si>
  <si>
    <t>(sectiunea 2)</t>
  </si>
  <si>
    <t>(વિભાગ 2)</t>
  </si>
  <si>
    <t>(ਭਾਗ 2)</t>
  </si>
  <si>
    <t>කණ්ඩායමේ එම ක්‍රියාකාරිත්වය පිළිබඳ වැඩි විස්තර සපයන සංකේතයට යාබද අවකාශයේ සටහන් එක් කරන්න. ඔබට සෑම ඉඩක්ම භාවිතා කිරීමට අවශ්‍ය නොවනු ඇත.</t>
  </si>
  <si>
    <t>Thêm ghi chú vào khoảng trống bên cạnh biểu tượng cung cấp thêm thông tin chi tiết về chức năng đó của nhóm. Bạn có thể không cần sử dụng mọi không gian.</t>
  </si>
  <si>
    <t>Adăugați note în spațiul de lângă simbolul care oferă mai multe detalii despre funcția grupului. Este posibil să nu aveți nevoie să utilizați fiecare spațiu.</t>
  </si>
  <si>
    <t>પ્રતીકની બાજુની જગ્યામાં નોંધો ઉમેરો જે જૂથના તે કાર્ય વિશે વધુ વિગત પૂરી પાડે છે. તમારે દરેક જગ્યાનો ઉપયોગ કરવાની જરૂર નહીં પડે.</t>
  </si>
  <si>
    <t>ਚਿੰਨ੍ਹ ਦੇ ਅੱਗੇ ਵਾਲੀ ਜਗ੍ਹਾ ਵਿਚ ਉਹ ਨੋਟ ਸ਼ਾਮਲ ਕਰੋ ਜੋ ਸਮੂਹ ਦੇ ਉਸ ਕਾਰਜ ਬਾਰੇ ਵਧੇਰੇ ਜਾਣਕਾਰੀ ਪ੍ਰਦਾਨ ਕਰਦੇ ਹਨ. ਤੁਹਾਨੂੰ ਹਰ ਜਗ੍ਹਾ ਦੀ ਵਰਤੋਂ ਕਰਨ ਦੀ ਜ਼ਰੂਰਤ ਨਹੀਂ ਹੋ ਸਕਦੀ.</t>
  </si>
  <si>
    <t>විවිධ කාර්යයන් සංසන්දනය කිරීම සඳහා ඔබට සංඛ්‍යාත්මක පද්ධතියක් භාවිතා කළ හැකිය.</t>
  </si>
  <si>
    <t>Bạn có thể sử dụng hệ thống số để so sánh các chức năng khác nhau.</t>
  </si>
  <si>
    <t>Puteți utiliza un sistem numeric pentru a compara diferitele funcții.</t>
  </si>
  <si>
    <t>વિવિધ કાર્યોની તુલના કરવા માટે તમે સંખ્યાત્મક સિસ્ટમનો ઉપયોગ કરી શકો છો.</t>
  </si>
  <si>
    <t>ਤੁਸੀਂ ਵੱਖ-ਵੱਖ ਕਾਰਜਾਂ ਦੀ ਤੁਲਨਾ ਕਰਨ ਲਈ ਇੱਕ ਸੰਖਿਆਤਮਕ ਪ੍ਰਣਾਲੀ ਦੀ ਵਰਤੋਂ ਕਰ ਸਕਦੇ ਹੋ.</t>
  </si>
  <si>
    <t>කණ්ඩායමක් මුහුණ දෙන අඛණ්ඩ අභියෝගයක් පිළිබඳ විස්තර “වෙනත් විස්තර” කොටුවෙහි තැබිය හැකිය.</t>
  </si>
  <si>
    <t>Thông tin chi tiết về một thách thức đang diễn ra mà một nhóm đang phải đối mặt có thể được đặt trong hộp “Chi tiết khác”.</t>
  </si>
  <si>
    <t>Detalii despre o provocare continuă cu care se confruntă un grup pot fi plasate în caseta „Alte detalii”.</t>
  </si>
  <si>
    <t>જૂથનો સામનો કરી રહેલા ચાલુ પડકાર વિશેની વિગતો “અન્ય વિગતો” બ inક્સમાં મૂકી શકાય છે.</t>
  </si>
  <si>
    <t>ਇੱਕ ਚੱਲ ਰਹੀ ਚੁਣੌਤੀ ਬਾਰੇ ਵੇਰਵੇ ਜਿਸਦਾ ਇੱਕ ਸਮੂਹ ਸਾਹਮਣਾ ਕਰ ਰਿਹਾ ਹੈ ਉਹਨਾਂ ਨੂੰ "ਹੋਰ ਵੇਰਵੇ" ਬਾਕਸ ਵਿੱਚ ਰੱਖਿਆ ਜਾ ਸਕਦਾ ਹੈ.</t>
  </si>
  <si>
    <t>ඉලක්ක</t>
  </si>
  <si>
    <t>Bàn thắng</t>
  </si>
  <si>
    <t>Obiective</t>
  </si>
  <si>
    <t>લક્ષ્યો</t>
  </si>
  <si>
    <t>ਟੀਚੇ</t>
  </si>
  <si>
    <t>(3 වන කොටස)</t>
  </si>
  <si>
    <t>(phần 3)</t>
  </si>
  <si>
    <t>(secțiunea 3)</t>
  </si>
  <si>
    <t>(વિભાગ 3)</t>
  </si>
  <si>
    <t>(ਭਾਗ 3)</t>
  </si>
  <si>
    <t>ඉහළ කොටුවේ හොඳින් ප්‍රකාශිත ඉලක්කයක් හෝ ඉලක්ක ලියන්න.</t>
  </si>
  <si>
    <t>Viết một mục tiêu được nêu rõ hoặc các mục tiêu vào ô trên cùng.</t>
  </si>
  <si>
    <t>Scrieți un gol sau obiective bine declarate în caseta de sus.</t>
  </si>
  <si>
    <t>ટોચનાં બ inક્સમાં સારી રીતે જણાવેલ લક્ષ્ય અથવા લક્ષ્યો લખો.</t>
  </si>
  <si>
    <t>ਚੋਟੀ ਦੇ ਬਾਕਸ ਵਿੱਚ ਇੱਕ ਸਹੀ statedੰਗ ਨਾਲ ਦੱਸੇ ਟੀਚੇ ਜਾਂ ਟੀਚੇ ਲਿਖੋ.</t>
  </si>
  <si>
    <t>වම් තීරුවේ ක්‍රියාකාරී පියවර ලැයිස්තුගත කරන්න.</t>
  </si>
  <si>
    <t>Liệt kê các bước hành động ở cột bên trái.</t>
  </si>
  <si>
    <t>Enumerați pașii de acțiune în coloana din stânga.</t>
  </si>
  <si>
    <t>ડાબી ક columnલમમાં ક્રિયા પગલાઓની સૂચિ.</t>
  </si>
  <si>
    <t>ਖੱਬੇ ਕਾਲਮ ਵਿੱਚ ਕਾਰਵਾਈ ਕਦਮਾਂ ਦੀ ਸੂਚੀ.</t>
  </si>
  <si>
    <t>මැද තීරුවේ, එක් එක් ක්‍රියා පියවර සඳහා සම්පූර්ණ දිනයක් එක් කරන්න.</t>
  </si>
  <si>
    <t>Ở cột giữa, hãy thêm ngày hoàn thành cho từng bước hành động.</t>
  </si>
  <si>
    <t>În coloana din mijloc, adăugați o dată de finalizare pentru fiecare pas de acțiune.</t>
  </si>
  <si>
    <t>મધ્યમ સ્તંભમાં, દરેક ક્રિયા પગલા માટે સમાપ્તિ તારીખ ઉમેરો.</t>
  </si>
  <si>
    <t>ਮਿਡਲ ਕਾਲਮ ਵਿੱਚ, ਹਰੇਕ ਐਕਸ਼ਨ ਸਟੈਪ ਲਈ ਪੂਰਨ ਮਿਤੀ ਸ਼ਾਮਲ ਕਰੋ.</t>
  </si>
  <si>
    <t>දකුණු තීරුවේ, ඔබට උදව් ඉල්ලා සිටිය හැකි පුද්ගලයින්, ඔබට අවශ්‍ය ද්‍රව්‍ය සහ ක්‍රියාකාරී පියවර සම්පූර්ණ කිරීමට උපකාරී වන වෙනත් දේ ලැයිස්තුගත කරන්න.</t>
  </si>
  <si>
    <t>Trong cột bên phải, liệt kê những người bạn có thể yêu cầu giúp đỡ, tài liệu bạn sẽ cần và những thứ khác có thể giúp hoàn thành bước hành động.</t>
  </si>
  <si>
    <t>În coloana din dreapta, enumerați persoanele la care puteți cere ajutorul, materialele de care veți avea nevoie și alte lucruri care vă pot ajuta să finalizați pasul de acțiune.</t>
  </si>
  <si>
    <t>જમણી કોલમમાં, તમને મદદ કરવા માટે પૂછી શકે તેવા લોકોની સૂચિ, તમારી જરૂરિયાતની સામગ્રી અને ક્રિયાત્મક પગલું પૂર્ણ કરવામાં સહાય કરી શકે તેવી અન્ય ચીજો.</t>
  </si>
  <si>
    <t>ਸੱਜੇ ਕਾਲਮ ਵਿੱਚ, ਉਹਨਾਂ ਲੋਕਾਂ ਦੀ ਸੂਚੀ ਬਣਾਓ ਜਿਨ੍ਹਾਂ ਦੀ ਤੁਸੀਂ ਮਦਦ ਕਰਨ ਲਈ ਕਹਿ ਸਕਦੇ ਹੋ, ਉਹ ਸਮੱਗਰੀ ਜਿਹਨਾਂ ਦੀ ਤੁਹਾਨੂੰ ਜ਼ਰੂਰਤ ਹੋਏਗੀ, ਅਤੇ ਹੋਰ ਚੀਜ਼ਾਂ ਜੋ ਕਿਰਿਆ ਕਦਮ ਨੂੰ ਪੂਰਾ ਕਰਨ ਵਿੱਚ ਸਹਾਇਤਾ ਕਰ ਸਕਦੀਆਂ ਹਨ.</t>
  </si>
  <si>
    <t>ඊලග පරම්පරාව</t>
  </si>
  <si>
    <t>Thế hệ kế tiếp</t>
  </si>
  <si>
    <t>Generație următoare</t>
  </si>
  <si>
    <t>આવતી પેઢી</t>
  </si>
  <si>
    <t>ਅਗਲੀ ਪੀੜੀ</t>
  </si>
  <si>
    <t>(4 වන කොටස)</t>
  </si>
  <si>
    <t>(phần 4)</t>
  </si>
  <si>
    <t>(secțiunea 4)</t>
  </si>
  <si>
    <t>(વિભાગ))</t>
  </si>
  <si>
    <t>(ਭਾਗ 4)</t>
  </si>
  <si>
    <t>ඊළඟ පරම්පරාව ධෛර්යමත් කර සංවර්ධනය කරන්නේ කෙසේද යන්න පිළිබඳව නායකයා පුහුණු කිරීම සඳහා ලබා දී ඇති අවකාශය භාවිතා කරන්න. ඔබට වැඩි ඉඩක් අවශ්‍ය නම්, ඔබට තවත් කඩදාසි භාවිතා කළ හැකිය.</t>
  </si>
  <si>
    <t>Sử dụng không gian được cung cấp để huấn luyện người lãnh đạo về cách thức khuyến khích và phát triển thế hệ tiếp theo. Nếu bạn cần thêm không gian, bạn có thể sử dụng nhiều giấy hơn.</t>
  </si>
  <si>
    <t>Folosiți spațiul oferit pentru a-l antrena pe lider în ceea ce privește modul de încurajare și dezvoltare a generației următoare. Dacă aveți nevoie de mai mult spațiu, este posibil să utilizați mai multă hârtie.</t>
  </si>
  <si>
    <t>આવનારી પે generationીને કેવી રીતે પ્રોત્સાહિત અને વિકસિત કરવામાં આવે છે તેના પર નેતાના કોચ માટે આપવામાં આવેલી જગ્યાનો ઉપયોગ કરો. જો તમને વધારે જગ્યાની જરૂર હોય, તો તમે વધુ કાગળનો ઉપયોગ કરી શકો છો.</t>
  </si>
  <si>
    <t>ਨੇਤਾ ਦੇ ਕੋਚ ਲਈ ਦਿੱਤੀ ਗਈ ਥਾਂ ਦੀ ਵਰਤੋਂ ਕਰੋ ਕਿ ਅਗਲੀ ਪੀੜ੍ਹੀ ਕਿਵੇਂ ਉਤਸ਼ਾਹਤ ਅਤੇ ਵਿਕਸਿਤ ਹੋ ਰਹੀ ਹੈ. ਜੇ ਤੁਹਾਨੂੰ ਵਧੇਰੇ ਜਗ੍ਹਾ ਦੀ ਜ਼ਰੂਰਤ ਹੈ, ਤਾਂ ਤੁਸੀਂ ਵਧੇਰੇ ਪੇਪਰ ਵਰਤ ਸਕਦੇ ਹੋ.</t>
  </si>
  <si>
    <t>ස්ථාපිත දියණිය පල්ලි ඇති විට:</t>
  </si>
  <si>
    <t>Khi có các nhà thờ con gái được thành lập:</t>
  </si>
  <si>
    <t>Când există biserici fiice înființate:</t>
  </si>
  <si>
    <t>જ્યારે સ્થાપિત પુત્રી ચર્ચો હોય છે:</t>
  </si>
  <si>
    <t>ਜਦੋਂ ਧੀਆਂ ਦੇ ਚਰਚ ਸਥਾਪਿਤ ਹੁੰਦੇ ਹਨ:</t>
  </si>
  <si>
    <t>දන්නා දේ මත පදනම්ව, ඉහළ වම් කොටුවේ නම, නායකයා, ස්ථානය, ආරම්භක දිනය හෝ මූලික ප්‍රමිතික එක් කරන්න.</t>
  </si>
  <si>
    <t>Dựa trên những gì đã biết, hãy thêm tên, người lãnh đạo, vị trí, ngày bắt đầu hoặc các chỉ số cốt lõi vào hộp trên cùng bên trái.</t>
  </si>
  <si>
    <t>Pe baza a ceea ce se știe, adăugați numele, liderul, locația, data de început sau valorile de bază în caseta din stânga sus.</t>
  </si>
  <si>
    <t>જે જાણીતું છે તેના આધારે, ઉપર ડાબી બાજુ બ theક્સમાં નામ, નેતા, સ્થાન, પ્રારંભ તારીખ અથવા કોર મેટ્રિક્સ ઉમેરો.</t>
  </si>
  <si>
    <t>ਜੋ ਜਾਣਿਆ ਜਾਂਦਾ ਹੈ ਦੇ ਅਧਾਰ ਤੇ, ਉੱਪਰੀ ਖੱਬੇ ਬਾਕਸ ਵਿੱਚ ਨਾਮ, ਲੀਡਰ, ਸਥਾਨ, ਸ਼ੁਰੂਆਤੀ ਮਿਤੀ ਜਾਂ ਕੋਰ ਮੈਟ੍ਰਿਕਸ ਸ਼ਾਮਲ ਕਰੋ.</t>
  </si>
  <si>
    <t>යොමු කිරීමක් ලෙස, පහළ වම් කොටුව තුළ එම කණ්ඩායම සඳහා වන ක්‍රියාකාරකම් රවුම් කරන්න.</t>
  </si>
  <si>
    <t>Cũng như một tài liệu tham khảo, hãy khoanh tròn các công cụ cho nhóm đó trong hộp phía dưới bên trái.</t>
  </si>
  <si>
    <t>De asemenea, ca referință, încercați funcțiile pentru acel grup în caseta din stânga jos.</t>
  </si>
  <si>
    <t>સંદર્ભ તરીકે પણ, નીચેના ડાબા બtionsક્સમાં તે જૂથની મનોરંજનને વર્તુળ કરો.</t>
  </si>
  <si>
    <t>ਇੱਕ ਹਵਾਲਾ ਦੇ ਤੌਰ ਤੇ, ਹੇਠਾਂ ਖੱਬੇ ਬਾਕਸ ਵਿੱਚ ਉਸ ਸਮੂਹ ਲਈ ਮਨੋਰੰਜਨ ਚੱਕਰ ਕਰੋ.</t>
  </si>
  <si>
    <t>විශාල කොටුව තුළ, මෙම පුහුණු සැසියේදී නායකයා පුහුණු කරනු ලබන ක්‍රම ලැයිස්තුගත කිරීම දියණියගේ නායකයා සහ කණ්ඩායම දිරිමත් කිරීමට, අභියෝග කිරීමට සහ නිදහස් කිරීමට උපකාරී වේ. දියණිය කණ්ඩායම සඳහා තීරණ හෝ ප්‍රමුඛතා ගන්න එපා.</t>
  </si>
  <si>
    <t>Trong hộp lớn hơn, liệt kê những cách mà người lãnh đạo được huấn luyện trong buổi huấn luyện này có thể giúp khuyến khích, thách thức và giải phóng người lãnh đạo và nhóm của con gái. Không đưa ra quyết định hoặc ưu tiên cho nhóm con gái.</t>
  </si>
  <si>
    <t>În caseta mai mare, enumerați modul în care liderul care este antrenat în această sesiune de coaching poate ajuta la încurajarea, provocarea și eliberarea liderului și grupului fiicei. Nu luați decizii sau priorități pentru grupul de fiice.</t>
  </si>
  <si>
    <t>મોટા બ Inક્સમાં, આ કોચિંગ સત્રમાં નેતાને કોચ કરવામાં આવી રહ્યાં છે તેની સૂચિ, પુત્રીના નેતા અને જૂથને પ્રોત્સાહન, પડકાર અને મુક્ત કરવામાં મદદ કરી શકે છે. પુત્રી જૂથ માટે નિર્ણય અથવા અગ્રતા ન લો.</t>
  </si>
  <si>
    <t>ਵੱਡੇ ਬਾਕਸ ਵਿੱਚ, ਇਸ ਕੋਚਿੰਗ ਸੈਸ਼ਨ ਵਿੱਚ ਨੇਤਾ ਦੇ ਕੋਚਾਂ ਨੂੰ ਸੂਚੀਬੱਧ ਕਰਨ ਨਾਲ ਧੀ ਦੇ ਨੇਤਾ ਅਤੇ ਸਮੂਹ ਨੂੰ ਉਤਸ਼ਾਹ, ਚੁਣੌਤੀ ਅਤੇ ਮੁਕਤ ਕਰਨ ਵਿੱਚ ਮਦਦ ਮਿਲ ਸਕਦੀ ਹੈ. ਧੀ ਸਮੂਹ ਲਈ ਫੈਸਲੇ ਜਾਂ ਤਰਜੀਹਾਂ ਨਾ ਲਓ.</t>
  </si>
  <si>
    <t>(සෑම දියණියකටම වෙනම පුහුණු සංවාදයක් සහ සවිස්තරාත්මක පුහුණු මෙවලමක් තිබිය යුතුය.)</t>
  </si>
  <si>
    <t>(Mỗi nhóm con gái nên có một cuộc trò chuyện huấn luyện riêng và công cụ huấn luyện chi tiết.)</t>
  </si>
  <si>
    <t>(Fiecare grup de fiice ar trebui să aibă o conversație separată de coaching și un instrument de coaching detaliat.)</t>
  </si>
  <si>
    <t>(દરેક પુત્રી જૂથ માટે એક અલગ કોચિંગ વાતચીત અને વિગતવાર કોચિંગ ટૂલ હોવું જોઈએ.)</t>
  </si>
  <si>
    <t>(ਹਰੇਕ ਧੀ ਸਮੂਹ ਲਈ ਵੱਖਰੀ ਕੋਚਿੰਗ ਗੱਲਬਾਤ ਅਤੇ ਵਿਸਥਾਰ ਕੋਚਿੰਗ ਟੂਲ ਹੋਣਾ ਚਾਹੀਦਾ ਹੈ.)</t>
  </si>
  <si>
    <t>නැගී එන කණ්ඩායම්, නායකයින් හෝ ගවේෂණය කරන ප්‍රදේශ සඳහා:</t>
  </si>
  <si>
    <t>Đối với các nhóm mới nổi, các nhà lãnh đạo hoặc các lĩnh vực đang được khám phá:</t>
  </si>
  <si>
    <t>Pentru grupuri emergente, lideri sau zone care sunt explorate:</t>
  </si>
  <si>
    <t>ઉભરતા જૂથો, નેતાઓ અથવા તે ક્ષેત્રો માટે કે જેઓ અન્વેષણ કરી રહ્યાં છે:</t>
  </si>
  <si>
    <t>ਉਭਰ ਰਹੇ ਸਮੂਹਾਂ, ਨੇਤਾਵਾਂ ਜਾਂ ਖੇਤਰਾਂ ਲਈ ਜਿਨ੍ਹਾਂ ਦੀ ਪੜਚੋਲ ਕੀਤੀ ਜਾ ਰਹੀ ਹੈ:</t>
  </si>
  <si>
    <t>විභව නව කණ්ඩායමේ, ප්‍රජාවේ හෝ නායකයාගේ නම ඉහළ වම් කොටුවෙහි තබන්න.</t>
  </si>
  <si>
    <t>Đặt tên của nhóm, cộng đồng hoặc nhà lãnh đạo mới tiềm năng vào hộp trên cùng bên trái.</t>
  </si>
  <si>
    <t>Puneți numele potențialului nou grup, comunitate sau lider în caseta din stânga sus.</t>
  </si>
  <si>
    <t>ઉપરના ડાબા બ inક્સમાં સંભવિત નવા જૂથ, સમુદાય અથવા નેતાનું નામ મૂકો.</t>
  </si>
  <si>
    <t>ਸੰਭਾਵਿਤ ਨਵੇਂ ਸਮੂਹ, ਕਮਿ communityਨਿਟੀ ਜਾਂ ਨੇਤਾ ਦਾ ਨਾਮ ਚੋਟੀ ਦੇ ਖੱਬੇ ਖਾਨੇ ਵਿੱਚ ਪਾਓ.</t>
  </si>
  <si>
    <t>විශාල කොටුව තුළ, නැගී එන කණ්ඩායමට හෝ නායකයාට උපකාර කිරීම සඳහා අවසාන කාල සීමාව තුළ කළ දේ ලැයිස්තුගත කරන්න.</t>
  </si>
  <si>
    <t>Trong hộp lớn hơn, liệt kê những gì đã làm trong khoảng thời gian vừa qua để giúp nhóm hoặc nhà lãnh đạo mới nổi.</t>
  </si>
  <si>
    <t>În caseta mai mare, enumerați ce s-a făcut în ultima perioadă de timp pentru a ajuta grupul sau liderul emergent.</t>
  </si>
  <si>
    <t>મોટા બ Inક્સમાં, ઉભરતા જૂથ અથવા નેતાને મદદ કરવા માટે છેલ્લા સમયગાળામાં શું કરવામાં આવ્યું હતું તેની સૂચિ બનાવો.</t>
  </si>
  <si>
    <t>ਵੱਡੇ ਬਾਕਸ ਵਿੱਚ, ਸੂਚੀ ਬਣਾਓ ਕਿ ਉਭਰ ਰਹੇ ਸਮੂਹ ਜਾਂ ਨੇਤਾ ਦੀ ਸਹਾਇਤਾ ਲਈ ਆਖਰੀ ਸਮੇਂ ਦੀ ਮਿਆਦ ਵਿੱਚ ਕੀ ਕੀਤਾ ਗਿਆ ਸੀ.</t>
  </si>
  <si>
    <r>
      <t xml:space="preserve">Ajoutez des idées sur la manière de faire de nouveaux progrès et de discerner la direction du Saint-Esprit dans la période </t>
    </r>
    <r>
      <rPr>
        <sz val="11"/>
        <rFont val="Calibri Light"/>
        <family val="2"/>
      </rPr>
      <t>prochaine.</t>
    </r>
  </si>
  <si>
    <t>නව ප්‍රගතියක් ලබා ගන්නේ කෙසේද යන්න පිළිබඳ අදහස් එකතු කරන්න සහ ඊළඟ කාල පරිච්ඡේදය තුළ ශුද්ධාත්මයාණන්ගේ මඟ පෙන්වීම වටහා ගන්න.</t>
  </si>
  <si>
    <t>Thêm ý tưởng về cách đạt được tiến bộ mới và nhận biết sự dẫn dắt của Đức Thánh Linh trong khoảng thời gian tiếp theo.</t>
  </si>
  <si>
    <t>Adăugați idei despre cum să faceți progrese noi și discerneți conducerea Duhului Sfânt în următoarea perioadă.</t>
  </si>
  <si>
    <t>નવી પ્રગતિ કેવી રીતે કરવી તે વિશેના વિચારો ઉમેરો અને આગામી સમયગાળામાં પવિત્ર આત્માના અગ્રણીને કેવી રીતે સમજવું.</t>
  </si>
  <si>
    <t>ਨਵੀਂ ਪ੍ਰਗਤੀ ਕਿਵੇਂ ਕੀਤੀ ਜਾਵੇ ਅਤੇ ਅਗਲੀ ਵਾਰ ਦੀ ਮਿਆਦ ਵਿਚ ਪਵਿੱਤਰ ਆਤਮਾ ਦੇ ਪ੍ਰਮੁੱਖਾਂ ਬਾਰੇ ਜਾਣਨ ਦੇ ਵਿਚਾਰ ਸ਼ਾਮਲ ਕਰੋ.</t>
  </si>
  <si>
    <r>
      <t xml:space="preserve">Marquez les priorités pour la  période </t>
    </r>
    <r>
      <rPr>
        <sz val="11"/>
        <rFont val="Calibri Light"/>
        <family val="2"/>
      </rPr>
      <t>prochaine</t>
    </r>
    <r>
      <rPr>
        <sz val="11"/>
        <color theme="1"/>
        <rFont val="Calibri Light"/>
        <family val="2"/>
      </rPr>
      <t xml:space="preserve"> et discutez d'un plan pour les atteindre.</t>
    </r>
  </si>
  <si>
    <t>ඊළඟ කාල පරිච්ඡේදය සඳහා ප්‍රමුඛතා සලකුණු කර ඒවා ඉටු කර ගැනීමේ සැලැස්මක් සාකච්ඡා කරන්න.</t>
  </si>
  <si>
    <t>Đánh dấu các ưu tiên trong khoảng thời gian tiếp theo và thảo luận kế hoạch để hoàn thành chúng.</t>
  </si>
  <si>
    <t>Marcați prioritățile pentru perioada următoare și discutați despre un plan care să le îndeplinească.</t>
  </si>
  <si>
    <t>આગલા સમયગાળા માટે પ્રાથમિકતાઓને ચિહ્નિત કરો અને તેને પૂર્ણ કરવાની યોજના પર ચર્ચા કરો.</t>
  </si>
  <si>
    <t>ਅਗਲੀ ਵਾਰ ਦੀ ਮਿਆਦ ਲਈ ਪਹਿਲ ਦੇ ਨਿਸ਼ਾਨ ਲਗਾਓ ਅਤੇ ਉਨ੍ਹਾਂ ਨੂੰ ਪੂਰਾ ਕਰਨ ਦੀ ਯੋਜਨਾ ਬਾਰੇ ਵਿਚਾਰ ਕਰੋ.</t>
  </si>
  <si>
    <t>පුහුණු සටහන්</t>
  </si>
  <si>
    <t>Ghi chú huấn luyện</t>
  </si>
  <si>
    <t>Note de antrenor</t>
  </si>
  <si>
    <t>કોચિંગ નોંધો</t>
  </si>
  <si>
    <t>ਕੋਚਿੰਗ ਨੋਟਿਸ</t>
  </si>
  <si>
    <t>thông tin</t>
  </si>
  <si>
    <t>informație</t>
  </si>
  <si>
    <t>માહિતી</t>
  </si>
  <si>
    <t>ਜਾਣਕਾਰੀ</t>
  </si>
  <si>
    <t>සමහර සැකසුම් සඳහා අමතර පුහුණු සටහන් ප්‍රයෝජනවත් විය හැකිය.</t>
  </si>
  <si>
    <t>Ghi chú huấn luyện bổ sung có thể hữu ích trong một số cài đặt.</t>
  </si>
  <si>
    <t>În unele setări pot fi utile note suplimentare de antrenament.</t>
  </si>
  <si>
    <t>વધારાની કોચિંગ નોંધો કેટલીક સેટિંગ્સમાં મદદરૂપ થઈ શકે છે.</t>
  </si>
  <si>
    <t>ਵਾਧੂ ਕੋਚਿੰਗ ਨੋਟ ਕੁਝ ਸੈਟਿੰਗਾਂ ਵਿੱਚ ਮਦਦਗਾਰ ਹੋ ਸਕਦੇ ਹਨ.</t>
  </si>
  <si>
    <t>පුහුණුකරු සහ පුහුණුකරු යන දෙදෙනාම ඔවුන්ගේ සටහන් තබා ගත හැකිය.</t>
  </si>
  <si>
    <t>Cả người được huấn luyện và huấn luyện viên đều có thể ghi chú của riêng họ.</t>
  </si>
  <si>
    <t>Atât persoana care este antrenată, cât și antrenorul își pot păstra propriile note.</t>
  </si>
  <si>
    <t>કોચ થયેલ વ્યક્તિ અને કોચ બંને પોતાની નોંધ રાખી શકે છે.</t>
  </si>
  <si>
    <t>ਦੋਵੇਂ ਵਿਅਕਤੀਆਂ ਦਾ ਕੋਚ ਕੀਤਾ ਜਾ ਰਿਹਾ ਹੈ ਅਤੇ ਕੋਚ ਆਪਣੇ ਨੋਟ ਰੱਖ ਸਕਦੇ ਹਨ.</t>
  </si>
  <si>
    <t>සටහන් තබන සෑම පුද්ගලයෙකුම තමාගේ / ඇයගේ කඩදාසි හෝ සටහන් පොත සපයයි.</t>
  </si>
  <si>
    <t>Mỗi người ghi chú cung cấp giấy hoặc sổ ghi chú của riêng mình.</t>
  </si>
  <si>
    <t>Fiecare persoană care face notițe își livrează propria hârtie sau caiet.</t>
  </si>
  <si>
    <t>નોંધો બનાવતી દરેક વ્યક્તિ તેના પોતાના કાગળ અથવા નોટ બુક સપ્લાય કરે છે.</t>
  </si>
  <si>
    <t>ਨੋਟ ਬਣਾਉਣ ਵਾਲਾ ਹਰ ਵਿਅਕਤੀ ਆਪਣਾ ਕਾਗਜ਼ ਜਾਂ ਨੋਟ ਬੁੱਕ ਦਿੰਦਾ ਹੈ।</t>
  </si>
  <si>
    <t>පුහුණු සටහන් සාදනු ලැබුවහොත් ඒවා රහස්‍ය වන අතර අනෙක් අය දැකීමෙන් ආරක්ෂා විය යුතුය.</t>
  </si>
  <si>
    <t>Nếu ghi chú huấn luyện được thực hiện, chúng là bí mật và cần được bảo vệ để người khác nhìn thấy.</t>
  </si>
  <si>
    <t>Dacă sunt făcute note de coaching, acestea sunt confidențiale și trebuie protejate de a fi văzute de alții.</t>
  </si>
  <si>
    <t>જો કોચિંગ નોંધો બનાવવામાં આવે છે, તો તે ગોપનીય છે અને અન્ય લોકો દ્વારા તેને જોવામાંથી સુરક્ષિત રાખવાની જરૂર છે.</t>
  </si>
  <si>
    <t>ਜੇ ਕੋਚਿੰਗ ਨੋਟ ਬਣਾਏ ਜਾਂਦੇ ਹਨ, ਉਹ ਗੁਪਤ ਹੁੰਦੇ ਹਨ ਅਤੇ ਦੂਜਿਆਂ ਦੁਆਰਾ ਵੇਖਣ ਤੋਂ ਬਚਾਏ ਜਾਣ ਦੀ ਜ਼ਰੂਰਤ ਹੁੰਦੀ ਹੈ.</t>
  </si>
  <si>
    <t>සාමාන්‍ය සිතියම්ගත කිරීමේ පුහුණුව</t>
  </si>
  <si>
    <t>ĐÀO TẠO BẢN ĐỒ QUỐC TẾ</t>
  </si>
  <si>
    <t>FORMARE GENERATIVĂ DE MAPPING</t>
  </si>
  <si>
    <t>સામાન્ય મેપિંગ તાલીમ</t>
  </si>
  <si>
    <t>ਸਧਾਰਣ ਮੈਪਿੰਗ ਸਿਖਲਾਈ</t>
  </si>
  <si>
    <t>අත් පත්‍රිකා 3: නියැදි පුහුණු ප්‍රශ්න</t>
  </si>
  <si>
    <t>Tài liệu phát 3: Câu hỏi huấn luyện mẫu</t>
  </si>
  <si>
    <t>Fișă 3: Exemple de întrebări de antrenor</t>
  </si>
  <si>
    <t>હેન્ડઆઉટ 3: નમૂનાના કોચિંગ પ્રશ્નો</t>
  </si>
  <si>
    <t>ਹੈਂਡਆਉਟ 3: ਨਮੂਨਾ ਕੋਚਿੰਗ ਪ੍ਰਸ਼ਨ</t>
  </si>
  <si>
    <t>නියැදි පුහුණු ප්‍රශ්න</t>
  </si>
  <si>
    <t>Câu hỏi huấn luyện mẫu</t>
  </si>
  <si>
    <t>Exemple de întrebări de antrenor</t>
  </si>
  <si>
    <t>નમૂનાના કોચિંગ પ્રશ્નો</t>
  </si>
  <si>
    <t>ਨਮੂਨਾ ਕੋਚਿੰਗ ਪ੍ਰਸ਼ਨ</t>
  </si>
  <si>
    <t>පරම්පරාගත සිතියම්කරණ පුහුණු කිරීමේ මෙවලමෙහි සෞඛ්‍ය සම්පන්න කණ්ඩායම් රූප සටහන 1 වන කොටස පුරවන විට ඇසිය හැකි ප්‍රශ්න:</t>
  </si>
  <si>
    <t>Các câu hỏi tiềm năng cần hỏi khi điền vào Phần một, Sơ đồ nhóm lành mạnh, của Công cụ huấn luyện lập bản đồ thế hệ:</t>
  </si>
  <si>
    <t>Întrebări potențiale de pus atunci când completați secțiunea 1, diagrama grupului sănătos, a instrumentului de antrenare a cartografiei generaționale:</t>
  </si>
  <si>
    <t>જનરેશનલ મેપિંગ કોચિંગ ટૂલનો વિભાગ એક, તંદુરસ્ત જૂથ ડાયાગ્રામ ભરી રહ્યા હોય ત્યારે પૂછવા સંભવિત પ્રશ્નો:</t>
  </si>
  <si>
    <t>ਜਨਰੇਸ਼ਨਲ ਮੈਪਿੰਗ ਕੋਚਿੰਗ ਟੂਲ ਦਾ ਭਾਗ 1, ਸਿਹਤਮੰਦ ਸਮੂਹ ਚਿੱਤਰ, ਭਰਨ ਵੇਲੇ ਸੰਭਾਵਤ ਪ੍ਰਸ਼ਨ:</t>
  </si>
  <si>
    <t>ඒ.</t>
  </si>
  <si>
    <t>A</t>
  </si>
  <si>
    <t>એ.</t>
  </si>
  <si>
    <t>ਏ.</t>
  </si>
  <si>
    <t>බී.</t>
  </si>
  <si>
    <t>બી.</t>
  </si>
  <si>
    <t>ਬੀ.</t>
  </si>
  <si>
    <t>සී.</t>
  </si>
  <si>
    <t>સી.</t>
  </si>
  <si>
    <t>ਸੀ.</t>
  </si>
  <si>
    <t>..</t>
  </si>
  <si>
    <t>số 8.</t>
  </si>
  <si>
    <t>පළමු කොටසේ ඉහළට:</t>
  </si>
  <si>
    <t>Đầu Phần Một:</t>
  </si>
  <si>
    <t>Partea de sus a secțiunii 1:</t>
  </si>
  <si>
    <t>વિભાગ એકની ટોચ:</t>
  </si>
  <si>
    <t>ਭਾਗ ਇੱਕ ਦਾ ਸਿਖਰ:</t>
  </si>
  <si>
    <t>ඔබගේ කණ්ඩායමට දැන් කී දෙනෙක් සහභාගී වේද?</t>
  </si>
  <si>
    <t>Có bao nhiêu người đang tham gia nhóm của bạn bây giờ?</t>
  </si>
  <si>
    <t>Câte persoane participă acum la grupul tău?</t>
  </si>
  <si>
    <t>હવે તમારા ગ્રુપમાં કેટલા લોકો ભાગ લઈ રહ્યા છે?</t>
  </si>
  <si>
    <t>ਤੁਹਾਡੇ ਸਮੂਹ ਵਿੱਚ ਹੁਣ ਕਿੰਨੇ ਲੋਕ ਸ਼ਾਮਲ ਹੋ ਰਹੇ ਹਨ?</t>
  </si>
  <si>
    <t>කණ්ඩායමේ ඇදහිලිවන්තයන් කී දෙනෙක් සිටීද? අවසාන කාල පරිච්ඡේදයේදී (උදා: මාස තුනක්) කීදෙනෙක් ඇදහිලිවන්තයන් බවට පත් වූවාද?</t>
  </si>
  <si>
    <t>Có bao nhiêu người là tín hữu trong nhóm? Có bao nhiêu người đã trở thành tín đồ trong thời kỳ vừa qua (ví dụ ba tháng)?</t>
  </si>
  <si>
    <t>Câți sunt credincioșii din grup? Câți au devenit credincioși în ultima perioadă (de exemplu, trei luni)?</t>
  </si>
  <si>
    <t>જૂથમાં વિશ્વાસીઓ કેટલા છે? છેલ્લા સમયગાળામાં કેટલા લોકો આસ્થાવાન બન્યા (દા.ત. ત્રણ મહિના)?</t>
  </si>
  <si>
    <t>ਸਮੂਹ ਵਿੱਚ ਵਿਸ਼ਵਾਸ ਕਰਨ ਵਾਲੇ ਕਿੰਨੇ ਹਨ? ਆਖਰੀ ਸਮੇਂ (ਜਿਵੇਂ ਕਿ ਤਿੰਨ ਮਹੀਨਿਆਂ) ਵਿੱਚ ਕਿੰਨੇ ਲੋਕ ਵਿਸ਼ਵਾਸੀ ਬਣੇ?</t>
  </si>
  <si>
    <t>බව්තීස්ම වූ ඇදහිලිවන්තයන් කණ්ඩායමේ කීදෙනෙක්ද? අන්තිම කාල පරිච්ඡේදයේදී (උදා: මාස තුනක්) බව්තීස්ම වූ ඇදහිලිවන්තයන් කීදෙනෙක්ද?</t>
  </si>
  <si>
    <t>Có bao nhiêu tín đồ được báp têm trong nhóm? Có bao nhiêu người trở thành tín đồ đã được báp têm trong thời kỳ vừa qua (ví dụ ba tháng)?</t>
  </si>
  <si>
    <t>Câți sunt credincioși botezați în grup? Câți au devenit botezați credincioși în ultima perioadă (de exemplu, trei luni)?</t>
  </si>
  <si>
    <t>જૂથમાં કેટલા બાપ્તિસ્મા પામનારા માને છે? છેલ્લા સમયગાળામાં (દા.ત. ત્રણ મહિના) કેટલા લોકો બાપ્તિસ્મા પામેલા આસ્તિક બન્યા?</t>
  </si>
  <si>
    <t>ਸਮੂਹ ਵਿੱਚ ਬਪਤਿਸਮਾ ਲੈਣ ਵਾਲੇ ਕਿੰਨੇ ਲੋਕ ਹਨ? ਆਖਰੀ ਸਮੇਂ (ਜਿਵੇਂ ਕਿ ਤਿੰਨ ਮਹੀਨੇ) ਵਿਚ ਕਿੰਨੇ ਬਪਤਿਸਮਾ ਲੈਣ ਵਾਲੇ ਵਿਸ਼ਵਾਸੀ ਬਣੇ?</t>
  </si>
  <si>
    <t>පළමු කොටසේ කේන්ද්‍රය:</t>
  </si>
  <si>
    <t>Trung tâm của Phần Một:</t>
  </si>
  <si>
    <t>Centrul secțiunii 1:</t>
  </si>
  <si>
    <t>વિભાગ એકનું કેન્દ્ર:</t>
  </si>
  <si>
    <t>ਭਾਗ ਇੱਕ ਦਾ ਕੇਂਦਰ:</t>
  </si>
  <si>
    <t>සම්පුර්ණයෙන්ම ක්‍රියාත්මක වන අළුත් ගිවිසුමේ පල්ලියක් බවට පත්වීමට කණ්ඩායම බැඳී සිටීද? එසේ නම්, රවුම make න බවට පත් කරන්න. එසේ නොවේ නම්, රවුම ඉරුණු ඉරක් ලෙස තබා ගන්න.</t>
  </si>
  <si>
    <t>Nhóm đã cam kết hoặc giao ước với nhau để trở thành một nhà thờ Tân Ước đầy đủ chức năng chưa? Nếu vậy, hãy làm cho hình tròn trở nên vững chắc. Nếu không, hãy giữ hình tròn dưới dạng đường đứt nét.</t>
  </si>
  <si>
    <t>Grupul s-a angajat sau a legat împreună pentru a deveni o biserică complet funcțională a Noului Testament? Dacă da, faceți cercul solid. Dacă nu, păstrați cercul ca o linie punctată.</t>
  </si>
  <si>
    <t>શું જૂથે સંપૂર્ણ વિધેયાત્મક ન્યુ ટેસ્ટામેન્ટ ચર્ચ બનવા માટે કટિબદ્ધ અથવા એક સાથે કરાર કર્યો છે? જો એમ હોય તો, વર્તુળને નક્કર બનાવો. જો નહીં, તો વર્તુળને ડેશેડ લાઇન તરીકે રાખો.</t>
  </si>
  <si>
    <t>ਕੀ ਸਮੂਹ ਨੇ ਨਿ Test ਨੇਮ ਦੇ ਪੂਰੀ ਤਰ੍ਹਾਂ ਕੰਮ ਕਰਨ ਵਾਲੀ ਚਰਚ ਬਣਨ ਲਈ ਇਕੱਠੇ ਹੋ ਕੇ ਵਾਅਦਾ ਕੀਤਾ ਹੈ ਜਾਂ ਇਕਰਾਰ ਕੀਤਾ ਹੈ? ਜੇ ਅਜਿਹਾ ਹੈ, ਤਾਂ ਚੱਕਰ ਨੂੰ ਠੋਸ ਬਣਾਓ. ਜੇ ਨਹੀਂ, ਤਾਂ ਚੱਕਰ ਨੂੰ ਡੈਸ਼ ਲਾਈਨ ਵਾਂਗ ਰੱਖੋ.</t>
  </si>
  <si>
    <t>අළුත් ගිවිසුමේ පල්ලියක කාර්යයන් නවයෙන් ඔබේ කණ්ඩායමේ සාමාජිකයන් බාහිර උදව් නොමැතිව නිතිපතා පුහුණුවීම් කරන්නේ කවරේද? පල්ලියේ වැවිලිකරු කාර්යයන් හඳුනාගන්නා පරිදි, එක් එක් ශ්‍රිතය විශාල කවය තුළ රවුම් කරන්න. කණ්ඩායම තනිවම පුහුණුවීම් නොකරන නමුත් මෙම කාර්යයට සහභාගී වීමට වෙනත් ක්‍රමයක් ඇති විශාල කවයෙන් පිටත ඒවා රවුම් කරන්න. කණ්ඩායමේ සාමාජිකයින්ට මෙම ශ්‍රිතයට සහභාගී වීමට විධිමත් ක්‍රමයක් නොමැති නම් පිටතින් ශ්‍රිතය රවුම් නොකරන්න.</t>
  </si>
  <si>
    <t>Các thành viên trong nhóm của bạn thực hành thường xuyên chức năng nào trong số chín chức năng của nhà thờ Tân Ước mà không cần bất kỳ sự trợ giúp nào từ bên ngoài? Khi người trồng cây nhà thờ xác định các chức năng, hãy khoanh tròn từng chức năng bên trong vòng tròn lớn hơn. Khoanh tròn những cái ở bên ngoài của vòng tròn lớn hơn mà nhóm không tự thực hành nhưng có cách khác để tham gia vào chức năng này. Không khoanh tròn chức năng ở bên ngoài nếu các thành viên trong nhóm không có cách nào thường xuyên tham gia vào chức năng này.</t>
  </si>
  <si>
    <t>Care dintre cele nouă funcții ale unei biserici din Noul Testament sunt membrii grupului dvs. care practică în mod regulat, fără ajutor din afară? Pe măsură ce plantatorul bisericii identifică funcțiile, încercați fiecare funcție în interiorul cercului mai mare. Încercați pe cei din exteriorul cercului mai mare pe care grupul nu îl practică pe cont propriu, dar au o altă modalitate de a participa la această funcție. Nu încercați funcția pe exterior dacă membrii grupului nu au nici un mod regulat de a participa la această funcție.</t>
  </si>
  <si>
    <t>ન્યુ ટેસ્ટામેન્ટ ચર્ચના નવ કાર્યોમાંથી કયા તમારા જૂથના સભ્યો બહારની મદદ વગર નિયમિતપણે પ્રેક્ટિસ કરે છે? જેમ જેમ ચર્ચ પ્લાન્ટર કાર્યોને ઓળખે છે, તેમ તેમ દરેક કાર્યને મોટા વર્તુળની અંદર વર્તુળ કરો. મોટા વર્તુળની બહારના ભાગ પર વર્તુળ કરો કે જૂથ તેમના પોતાના પર પ્રેક્ટિસ કરી રહ્યું નથી પરંતુ આ કાર્યમાં ભાગ લેવાની બીજી રીત છે. જો જૂથના સભ્યો પાસે આ કાર્યમાં ભાગ લેવાની નિયમિત રીત ન હોય તો બહારના ફંક્શનને વર્તુળમાં ન લખો.</t>
  </si>
  <si>
    <t>ਨਿ Test ਨੇਮ ਦੇ ਚਰਚ ਦੇ ਨੌਂ ਕਾਰਜਾਂ ਵਿੱਚੋਂ ਕਿਹੜਾ ਤੁਹਾਡੇ ਸਮੂਹ ਦੇ ਮੈਂਬਰ ਬਿਨਾਂ ਕਿਸੇ ਬਾਹਰੀ ਮਦਦ ਦੇ ਨਿਯਮਤ ਅਧਾਰ ਤੇ ਅਭਿਆਸ ਕਰ ਰਹੇ ਹਨ? ਜਿਵੇਂ ਕਿ ਚਰਚ ਲਗਾਉਣ ਵਾਲਾ ਕੰਮਾਂ ਦੀ ਪਛਾਣ ਕਰਦਾ ਹੈ, ਹਰੇਕ ਫੰਕਸ਼ਨ ਨੂੰ ਵੱਡੇ ਚੱਕਰ ਵਿੱਚ ਚੱਕਰ ਲਗਾਉਂਦਾ ਹੈ. ਵੱਡੇ ਚੱਕਰ ਦੇ ਬਾਹਰ ਵਾਲੇ ਪਾਸੇ ਚੱਕਰ ਲਗਾਓ ਕਿ ਸਮੂਹ ਆਪਣੇ ਆਪ ਅਭਿਆਸ ਨਹੀਂ ਕਰ ਰਿਹਾ ਹੈ ਪਰ ਇਸ ਕਾਰਜ ਵਿਚ ਹਿੱਸਾ ਲੈਣ ਲਈ ਇਕ ਹੋਰ ਤਰੀਕਾ ਹੈ. ਜੇ ਗਰੁੱਪ ਦੇ ਮੈਂਬਰਾਂ ਕੋਲ ਇਸ ਕਾਰਜ ਵਿਚ ਹਿੱਸਾ ਲੈਣ ਦਾ ਕੋਈ ਨਿਯਮਤ ਤਰੀਕਾ ਨਹੀਂ ਹੈ ਤਾਂ ਬਾਹਰ ਨੂੰ ਫੰਕਸ਼ਨ ਦਾ ਚੱਕਰ ਨਾ ਲਗਾਓ.</t>
  </si>
  <si>
    <t>කණ්ඩායම මෙම කාර්යය කරන්නේ කෙසේද යන්න ඔබ කෙතරම් effective ලදායීද? සෞඛ්‍ය සම්පන්නව ක්‍රියා කරන්නේ නම්, function න රේඛාවකින් රවුමේ ක්‍රියාකාරිත්වය රවුම් කරන්න; කණ්ඩායමට මෙම ශ්‍රිතය මත වැඩ කිරීමට අවශ්‍ය නම්, ඉරුණු ඉරකින් ක්‍රියාකාරකම රවුම් කරන්න.</t>
  </si>
  <si>
    <t>Bạn đánh giá mức độ hiệu quả của nhóm đang thực hiện chức năng này? Nếu hoạt động lành mạnh, hãy khoanh tròn hàm trong đường tròn bằng nét liền mảnh; nếu nhóm cần làm việc trên chức năng này, hãy khoanh tròn hoạt động bằng một đường gạch ngang.</t>
  </si>
  <si>
    <t>Cât de eficient ați evalua modul în care grupul îndeplinește această funcție? Dacă funcționează sănătos, încercuiește funcția din cerc cu o linie solidă; dacă grupul trebuie să lucreze la această funcție, încercați activitatea cu o linie punctată.</t>
  </si>
  <si>
    <t>જૂથ આ કાર્ય કેવી રીતે કરે છે તે તમે કેટલું અસરકારક છો? જો આરોગ્યપ્રદ રીતે કાર્યરત હોય, તો કાર્યને એક નક્કર લાઇન સાથે વર્તુળમાં વર્તુળ કરો; જો જૂથને આ કાર્ય પર કાર્ય કરવાની જરૂર હોય, તો પ્રવૃત્તિને ડેશિંગ લાઇનથી વર્તુળ કરો.</t>
  </si>
  <si>
    <t>ਤੁਸੀਂ ਕਿਵੇਂ ਪ੍ਰਭਾਵਸ਼ਾਲੀ ਹੋਵੋਗੇ ਕਿ ਸਮੂਹ ਇਸ ਕਾਰਜ ਨੂੰ ਕਿਵੇਂ ਕਰ ਰਿਹਾ ਹੈ? ਜੇ ਸਿਹਤਮੰਦ functioningੰਗ ਨਾਲ ਕੰਮ ਕਰ ਰਹੇ ਹੋ, ਚੱਕਰ ਨੂੰ ਇਕ ਠੋਸ ਲਾਈਨ ਨਾਲ ਚੱਕਰ ਵਿਚ ਘੁਮਾਓ; ਜੇ ਸਮੂਹ ਨੂੰ ਇਸ ਕਾਰਜ ਤੇ ਕੰਮ ਕਰਨ ਦੀ ਜ਼ਰੂਰਤ ਹੈ, ਤਾਂ ਗਤੀਵਿਧੀ ਨੂੰ ਡੈਸ਼ ਲਾਈਨ ਨਾਲ ਚੱਕਰ ਲਗਾਓ.</t>
  </si>
  <si>
    <t>පරම්පරාගත සිතියම්කරණ පුහුණු මෙවලමෙහි කොටස් දෙක සහ තුන, විස්තර සහ ඉලක්ක කොටස් පුරවන විට ඇසිය හැකි ප්‍රශ්න:</t>
  </si>
  <si>
    <t>Các câu hỏi tiềm năng cần hỏi khi điền vào Phần hai và Ba, phần Chi tiết và Mục tiêu, của Công cụ Huấn luyện Lập bản đồ Thế hệ:</t>
  </si>
  <si>
    <t>Întrebări potențiale de pus atunci când completați secțiunile două și trei, detalii și obiective, ale instrumentului de coordonare a mapării generaționale:</t>
  </si>
  <si>
    <t>જનરેશનલ મેપિંગ કોચિંગ ટૂલના વિભાગો બે અને ત્રણ, વિગતો અને લક્ષ્યો વિભાગો ભરતી વખતે પૂછવા સંભવિત પ્રશ્નો:</t>
  </si>
  <si>
    <t>ਪੀੜ੍ਹੀ ਦੇ ਮੈਪਿੰਗ ਕੋਚਿੰਗ ਟੂਲ ਦੇ ਭਾਗ ਦੋ ਅਤੇ ਤਿੰਨ, ਵੇਰਵਿਆਂ ਅਤੇ ਟੀਚਿਆਂ ਦੇ ਭਾਗਾਂ ਨੂੰ ਭਰਨ ਵੇਲੇ ਪੁੱਛਣ ਲਈ ਸੰਭਾਵਤ ਪ੍ਰਸ਼ਨ:</t>
  </si>
  <si>
    <t>දෙවන කොටස:</t>
  </si>
  <si>
    <t>Phần hai:</t>
  </si>
  <si>
    <t>Secțiunea a doua:</t>
  </si>
  <si>
    <t>વિભાગ બે:</t>
  </si>
  <si>
    <t>ਭਾਗ ਦੋ:</t>
  </si>
  <si>
    <t>මෙම කාර්යය සඳහා ඔබේ කණ්ඩායම කරන්නේ කුමක්ද? (කණ්ඩායම කරන සෑම කාර්යයක් සඳහාම මෙම ප්‍රශ්නය අසන්න)</t>
  </si>
  <si>
    <t>Nhóm của bạn đang làm gì cho chức năng này? (Đặt câu hỏi này cho từng chức năng mà nhóm đang thực hiện)</t>
  </si>
  <si>
    <t>Ce face grupul dvs. pentru această funcție? (Puneți această întrebare pentru fiecare funcție pe care o îndeplinește grupul)</t>
  </si>
  <si>
    <t>તમારું જૂથ આ કાર્ય માટે શું કરી રહ્યું છે? (જૂથ કરેલા દરેક કાર્ય માટે આ પ્રશ્ન પૂછો)</t>
  </si>
  <si>
    <t>ਤੁਹਾਡਾ ਸਮੂਹ ਇਸ ਕਾਰਜ ਲਈ ਕੀ ਕਰ ਰਿਹਾ ਹੈ? (ਸਮੂਹ ਕਾਰਜ ਕਰ ਰਹੇ ਹਰੇਕ ਕਾਰਜ ਲਈ ਇਹ ਪ੍ਰਸ਼ਨ ਪੁੱਛੋ)</t>
  </si>
  <si>
    <t>ඉරුණු ඉරක් ඇඳීමෙන් මෙම ක්‍රියාව සිදු කිරීමේදී කණ්ඩායම වර්ධනය විය යුතු බව ඔබ පෙන්වා දුන්නා. ශ්‍රිතය line න රේඛාවකට ගෙනයාමට අවශ්‍ය වන්නේ කුමක්ද?</t>
  </si>
  <si>
    <t>Bạn đã chỉ ra rằng nhóm cần phát triển khi thực hiện chức năng này bằng cách vẽ một đường đứt nét. Điều gì sẽ xảy ra để chuyển hàm thành một đường liền?</t>
  </si>
  <si>
    <t>Ați indicat că grupul trebuie să crească pentru a realiza această funcție desenând o linie punctată. Ce ar fi nevoie pentru a muta funcția pe o linie solidă?</t>
  </si>
  <si>
    <t>તમે સૂચવ્યું કે જૂથને કોઈ ડ્રેશ લાઇન દોરીને આ કાર્ય કરવામાં વૃદ્ધિ કરવાની જરૂર છે. ફંકશનને નક્કર લાઇનમાં ખસેડવા માટે તે શું લેશે?</t>
  </si>
  <si>
    <t>ਤੁਸੀਂ ਸੰਕੇਤ ਦਿੱਤਾ ਕਿ ਸਮੂਹ ਨੂੰ ਇੱਕ ਡੈਸ਼ ਲਾਈਨ ਖਿੱਚ ਕੇ ਇਹ ਕਾਰਜ ਕਰਨ ਵਿੱਚ ਵੱਧਣ ਦੀ ਜ਼ਰੂਰਤ ਹੈ. ਕਾਰਜ ਨੂੰ ਠੋਸ ਲਾਈਨ ਵਿੱਚ ਲਿਜਾਣ ਲਈ ਕੀ ਲੈਣਾ ਚਾਹੀਦਾ ਹੈ?</t>
  </si>
  <si>
    <t>මෙම කාර්යයේදී වඩාත් be ලදායී වීමට ඔබට කණ්ඩායම පුහුණු කිරීමට හෝ පුහුණු කිරීමට හැක්කේ කෙසේද? ඔබට මෙය කළ හැක්කේ කවදාද?</t>
  </si>
  <si>
    <t>Làm thế nào bạn có thể đào tạo hoặc huấn luyện nhóm để hoạt động hiệu quả hơn trong chức năng này? Khi nào bạn có thể làm điều này?</t>
  </si>
  <si>
    <t>Cum ați putea antrena sau antrena grupul pentru a fi mai eficient în această funcție? Când ai putea face asta?</t>
  </si>
  <si>
    <t>તમે આ કાર્યમાં વધુ અસરકારક બનવા માટે જૂથને કેવી રીતે તાલીમ આપી શકો છો અથવા કોચ કરી શકશો? તમે આ ક્યારે કરી શક્યા?</t>
  </si>
  <si>
    <t>ਤੁਸੀਂ ਇਸ ਕਾਰਜ ਵਿਚ ਵਧੇਰੇ ਪ੍ਰਭਾਵਸ਼ਾਲੀ ਹੋਣ ਲਈ ਸਮੂਹ ਨੂੰ ਸਿਖਲਾਈ ਜਾਂ ਕੋਚ ਕਿਵੇਂ ਦੇ ਸਕਦੇ ਹੋ? ਤੁਸੀਂ ਇਹ ਕਦੋਂ ਕਰ ਸਕਦੇ ਹੋ?</t>
  </si>
  <si>
    <t>පල්ලියක් බවට පත්වීමට ඊළඟට ආරම්භ කළ යුත්තේ කණ්ඩායම විසින් ඉටු නොකරන කාර්යයන් මොනවාද?</t>
  </si>
  <si>
    <t>Những chức năng nào mà nhóm không thực hành nên bắt đầu tiếp theo để trở thành nhà thờ?</t>
  </si>
  <si>
    <t>Care dintre funcțiile pe care grupul nu le exercită ar trebui să înceapă să devină biserică?</t>
  </si>
  <si>
    <t>આ જૂથ જે ક્યા કાર્યો દ્વારા પ્રેક્ટિસ નથી કરી રહ્યું છે તેમાંથી તેઓએ ચર્ચ બનવાની સાથે શરૂ કરવું જોઈએ?</t>
  </si>
  <si>
    <t>ਉਹ ਕਿਹੜਾ ਕੰਮ ਕਰ ਰਿਹਾ ਹੈ ਜਿਸਦਾ ਸਮੂਹ ਅਭਿਆਸ ਨਹੀਂ ਕਰ ਰਿਹਾ ਹੈ ਉਨ੍ਹਾਂ ਨੂੰ ਚਰਚ ਬਣਨ ਤੋਂ ਪਹਿਲਾਂ ਸ਼ੁਰੂ ਕਰਨਾ ਚਾਹੀਦਾ ਹੈ?</t>
  </si>
  <si>
    <t>මෙය වැදගත් කාර්යයක් බව දැන ගැනීමට ඔබ කණ්ඩායමට උදව් කරන්නේ කෙසේද?</t>
  </si>
  <si>
    <t>Bạn sẽ làm thế nào để giúp nhóm biết rằng đây là một chức năng quan trọng?</t>
  </si>
  <si>
    <t>Cum vei ajuta grupul să știe că aceasta este o funcție importantă?</t>
  </si>
  <si>
    <t>તમે જૂથને કેવી રીતે જાણશો કે આ એક મહત્વપૂર્ણ કાર્ય છે?</t>
  </si>
  <si>
    <t>ਤੁਸੀਂ ਸਮੂਹ ਨੂੰ ਕਿਵੇਂ ਜਾਣੋਂਗੇ ਕਿ ਇਹ ਮਹੱਤਵਪੂਰਣ ਕਾਰਜ ਹੈ?</t>
  </si>
  <si>
    <t>මෙම ක්‍රියාව සිදු කිරීම ආරම්භ කිරීමට ඔබ කණ්ඩායමට උදව් කරන්නේ කෙසේද?</t>
  </si>
  <si>
    <t>Bạn sẽ bắt đầu giúp nhóm bắt đầu thực hiện chức năng này như thế nào?</t>
  </si>
  <si>
    <t>Cum veți începe să ajutați grupul să înceapă să facă această funcție?</t>
  </si>
  <si>
    <t>તમે જૂથને આ કાર્ય કરવાનું શરૂ કરવામાં કેવી રીતે સહાય કરવાનું પ્રારંભ કરશો?</t>
  </si>
  <si>
    <t>ਤੁਸੀਂ ਸਮੂਹ ਨੂੰ ਇਸ ਕਾਰਜ ਨੂੰ ਸ਼ੁਰੂ ਕਰਨ ਵਿੱਚ ਸਹਾਇਤਾ ਕਿਵੇਂ ਸ਼ੁਰੂ ਕਰੋਗੇ?</t>
  </si>
  <si>
    <t>කණ්ඩායමේ සිදුවන දේවල යථාර්ථය අවබෝධ කර ගැනීමට උපකාරී වන කණ්ඩායම හෝ කණ්ඩායමේ සන්දර්භය පිළිබඳ අමතර තොරතුරු මොනවාද?</t>
  </si>
  <si>
    <t>Thông tin bổ sung nào về nhóm hoặc bối cảnh của nhóm giúp hiểu thực tế về những gì đang xảy ra trong nhóm?</t>
  </si>
  <si>
    <t>Ce informații suplimentare despre grup sau contextul grupului ajută la înțelegerea realității a ceea ce se întâmplă în grup?</t>
  </si>
  <si>
    <t>જૂથ અથવા જૂથના સંદર્ભ વિશેની અતિરિક્ત માહિતી જૂથમાં શું થઈ રહ્યું છે તેની વાસ્તવિકતાને સમજવામાં મદદ કરે છે?</t>
  </si>
  <si>
    <t>ਸਮੂਹ ਜਾਂ ਸਮੂਹ ਦੇ ਪ੍ਰਸੰਗ ਬਾਰੇ ਕਿਹੜੀਆਂ ਅਤਿਰਿਕਤ ਜਾਣਕਾਰੀ ਸਮੂਹ ਵਿੱਚ ਜੋ ਹੋ ਰਿਹਾ ਹੈ ਉਸ ਦੀ ਹਕੀਕਤ ਨੂੰ ਸਮਝਣ ਵਿੱਚ ਸਹਾਇਤਾ ਕਰਦੀ ਹੈ?</t>
  </si>
  <si>
    <t>තුන්වන කොටස:</t>
  </si>
  <si>
    <t>Phần Ba:</t>
  </si>
  <si>
    <t>Secțiunea a treia:</t>
  </si>
  <si>
    <t>વિભાગ ત્રણ:</t>
  </si>
  <si>
    <t>ਭਾਗ ਤਿੰਨ:</t>
  </si>
  <si>
    <t>ඔබේ කණ්ඩායම කරන්නේ හෝ නොකරන දේ දෙස බලන විට, ඊළඟ කාල පරිච්ඡේදය සඳහා (උදා: මාස තුනක්) ඔබ අවධානය යොමු කළ යුතු වැදගත්ම ඉලක්කය (මොනවාද) කුමක්ද?</t>
  </si>
  <si>
    <t>Khi bạn xem xét những gì nhóm của bạn đang làm hoặc không làm, (những) mục tiêu quan trọng nhất mà bạn cần tập trung cho giai đoạn tiếp theo (ví dụ: ba tháng) là gì?</t>
  </si>
  <si>
    <t>Pe măsură ce te uiți la ceea ce face sau nu grupul tău, care este (sunt) cel mai important obiectiv (obiective) la care trebuie să te concentrezi pentru următoarea perioadă (de exemplu, trei luni)?</t>
  </si>
  <si>
    <t>જેમ જેમ તમે જુઓ છો કે તમારું જૂથ શું કરે છે અથવા શું નથી કરી રહ્યું છે, તો પછીના સમયગાળા (દા.ત. ત્રણ મહિના) પર તમારે ધ્યાન આપવાની જરૂર છે તે સૌથી મહત્વપૂર્ણ લક્ષ્ય (ઓ) શું છે?</t>
  </si>
  <si>
    <t>ਜਿਵੇਂ ਕਿ ਤੁਸੀਂ ਦੇਖਦੇ ਹੋ ਕਿ ਤੁਹਾਡਾ ਸਮੂਹ ਕੀ ਕਰ ਰਿਹਾ ਹੈ ਜਾਂ ਨਹੀਂ ਕਰ ਰਿਹਾ ਹੈ, (ਸਭ ਤੋਂ ਮਹੱਤਵਪੂਰਣ ਟੀਚਾ) ਕੀ ਹੈ ਜਿਸ ਦੀ ਤੁਹਾਨੂੰ ਅਗਲੇ ਅਵਧੀ (ਜਿਵੇਂ ਕਿ ਤਿੰਨ ਮਹੀਨਿਆਂ) 'ਤੇ ਧਿਆਨ ਕੇਂਦਰਤ ਕਰਨ ਦੀ ਜ਼ਰੂਰਤ ਹੈ?</t>
  </si>
  <si>
    <t>මෙම ඉලක්කය කරා යාමට ඔබට ගත හැකි ක්‍රියාමාර්ග මොනවාද? වෙන මොනවද?</t>
  </si>
  <si>
    <t>Bạn có thể thực hiện những bước hành động nào để hướng tới mục tiêu này? Còn gì nữa?</t>
  </si>
  <si>
    <t>Ce acțiuni puteți întreprinde pentru a vă orienta către acest obiectiv? Ce altceva?</t>
  </si>
  <si>
    <t>આ લક્ષ્ય તરફ તમારી જાતને આગળ વધારવા માટે તમે કયા પગલાં લઈ શકો છો? બીજું શું?</t>
  </si>
  <si>
    <t>ਆਪਣੇ ਆਪ ਨੂੰ ਇਸ ਟੀਚੇ ਵੱਲ ਲਿਜਾਣ ਲਈ ਤੁਸੀਂ ਕਿਹੜੇ ਕਦਮ ਚੁੱਕ ਸਕਦੇ ਹੋ? ਹੋਰ ਕੀ?</t>
  </si>
  <si>
    <t>මෙම ප්‍රදේශයේ ඔබ මුහුණ දෙන අභියෝග මොනවාද?</t>
  </si>
  <si>
    <t>Bạn phải đối mặt với những thách thức nào trong lĩnh vực này?</t>
  </si>
  <si>
    <t>Ce provocări întâmpinați în acest domeniu?</t>
  </si>
  <si>
    <t>તમે આ ક્ષેત્રમાં કયા પડકારોનો સામનો કરો છો?</t>
  </si>
  <si>
    <t>ਇਸ ਖੇਤਰ ਵਿੱਚ ਤੁਹਾਨੂੰ ਕਿਹੜੀਆਂ ਚੁਣੌਤੀਆਂ ਦਾ ਸਾਹਮਣਾ ਕਰਨਾ ਪੈ ਰਿਹਾ ਹੈ?</t>
  </si>
  <si>
    <t>මෙම අභියෝග ජය ගැනීමට ඔබට කුමක් කළ හැකිද?</t>
  </si>
  <si>
    <t>Bạn có thể làm gì để vượt qua những thách thức này?</t>
  </si>
  <si>
    <t>Ce ai putea face pentru a depăși aceste provocări?</t>
  </si>
  <si>
    <t>આ પડકારોને પહોંચી વળવા તમે શું કરી શક્યા?</t>
  </si>
  <si>
    <t>ਤੁਸੀਂ ਇਨ੍ਹਾਂ ਚੁਣੌਤੀਆਂ ਨੂੰ ਦੂਰ ਕਰਨ ਲਈ ਕੀ ਕਰ ਸਕਦੇ ਹੋ?</t>
  </si>
  <si>
    <t>ඔබ දැනටමත් උත්සාහ කර ඇත්තේ කුමක්ද? ඔබගේ ක්‍රියාවන්හි ඇති වෙනස කුමක්ද?</t>
  </si>
  <si>
    <t>Bạn đã thử những gì rồi? Hành động của bạn đã tạo ra sự khác biệt nào?</t>
  </si>
  <si>
    <t>Ce ai încercat deja? Ce diferență au făcut acțiunile tale?</t>
  </si>
  <si>
    <t>તમે પહેલાથી જ શું પ્રયાસ કર્યો છે? તમારી ક્રિયાઓથી શું ફરક પડ્યો?</t>
  </si>
  <si>
    <t>ਤੁਸੀਂ ਪਹਿਲਾਂ ਹੀ ਕੀ ਕੋਸ਼ਿਸ਼ ਕੀਤੀ ਹੈ? ਤੁਹਾਡੀਆਂ ਕਿਰਿਆਵਾਂ ਨੇ ਕੀ ਫ਼ਰਕ ਪਾਇਆ?</t>
  </si>
  <si>
    <t>ඔබට උදව් කළ හැක්කේ කාටද?</t>
  </si>
  <si>
    <t>Ai có thể giúp bạn?</t>
  </si>
  <si>
    <t>Cine te poate ajuta?</t>
  </si>
  <si>
    <t>તમને કોણ મદદ કરી શકે?</t>
  </si>
  <si>
    <t>ਕੌਣ ਤੁਹਾਡੀ ਮਦਦ ਕਰ ਸਕਦਾ ਹੈ?</t>
  </si>
  <si>
    <t>ඔබට භාවිතා කළ හැකි වෙනත් සම්පත් මොනවාද?</t>
  </si>
  <si>
    <t>Bạn có thể sử dụng những tài nguyên nào khác?</t>
  </si>
  <si>
    <t>Ce alte resurse puteți utiliza?</t>
  </si>
  <si>
    <t>તમે કયા અન્ય સંસાધનોનો ઉપયોગ કરી શક્યા?</t>
  </si>
  <si>
    <t>ਤੁਸੀਂ ਕਿਹੜੇ ਹੋਰ ਸਰੋਤ ਵਰਤ ਸਕਦੇ ਹੋ?</t>
  </si>
  <si>
    <t>ඔබට ප්‍රයෝජනවත් විය හැකි අන් අය කරන දේ ඔබ දැක තිබේද?</t>
  </si>
  <si>
    <t>Bạn đã thấy những gì người khác làm có thể hiệu quả với bạn?</t>
  </si>
  <si>
    <t>Ce ai văzut că fac alții care ar putea să funcționeze pentru tine?</t>
  </si>
  <si>
    <t>તમે બીજાને શું જોયું છે જે તમારા માટે કામ કરી શકે છે?</t>
  </si>
  <si>
    <t>ਤੁਸੀਂ ਦੂਸਰਿਆਂ ਨੂੰ ਕੀ ਕਰਦੇ ਦੇਖਿਆ ਹੈ ਜੋ ਤੁਹਾਡੇ ਲਈ ਕੰਮ ਕਰ ਸਕਦੇ ਹਨ?</t>
  </si>
  <si>
    <t>ඊළඟ කාල පරිච්ඡේදයේදී (උදා: මාස තුනක්) ඔබ ගන්නා ක්‍රියාමාර්ග මොනවාද? ඒවා රවුම් කරන්න හෝ තරුවක් හෝ චෙක් සලකුණක් ඔවුන් අසල තබන්න.</t>
  </si>
  <si>
    <t>Bạn sẽ thực hiện những bước hành động nào trong giai đoạn tiếp theo (ví dụ: ba tháng)? Khoanh tròn chúng hoặc đặt một dấu sao hoặc dấu kiểm bên cạnh chúng.</t>
  </si>
  <si>
    <t>Ce măsuri veți face în următoarea perioadă (de exemplu, trei luni)? Încercați-le sau puneți o stea sau marcaj de lângă ele.</t>
  </si>
  <si>
    <t>આગામી સમયગાળામાં તમે કયા પગલાં ભરશો (દા.ત. ત્રણ મહિના)? તેમને વર્તુળ બનાવો અથવા એક સ્ટાર અથવા તેમની બાજુમાં ચેક માર્ક મૂકો.</t>
  </si>
  <si>
    <t>ਅਗਲੀ ਅਵਧੀ (ਜਿਵੇਂ ਕਿ ਤਿੰਨ ਮਹੀਨੇ) ਵਿਚ ਤੁਸੀਂ ਕੀ ਕਦਮ ਚੁੱਕੋਗੇ? ਉਨ੍ਹਾਂ ਨੂੰ ਚੱਕਰ ਲਗਾਓ ਜਾਂ ਉਨ੍ਹਾਂ ਦੇ ਅੱਗੇ ਸਟਾਰ ਜਾਂ ਚੈੱਕ ਮਾਰਕ ਲਗਾਓ.</t>
  </si>
  <si>
    <t>ඔබ මේ සෑම පියවරක්ම ගන්නේ කවදාද?</t>
  </si>
  <si>
    <t>Khi nào bạn sẽ thực hiện từng bước hành động này?</t>
  </si>
  <si>
    <t>Până când veți face fiecare dintre acești pași de acțiune?</t>
  </si>
  <si>
    <t>તમે આ ક્રિયાના દરેક પગલા ક્યારે લો છો?</t>
  </si>
  <si>
    <t>ਤੁਸੀਂ ਇਨ੍ਹਾਂ ਵਿੱਚੋਂ ਹਰ ਇਕ ਕਦਮ ਕਦੋਂ ਚੁੱਕੋਗੇ?</t>
  </si>
  <si>
    <t>මෙම ක්‍රියාකාරී පියවරයන් ඉටු කර ගැනීමට ඔබට උපකාර කිරීමට කුමක් කළ යුතුද? ක්‍රියා පියවරට යාබදව නම් ලියන්න.</t>
  </si>
  <si>
    <t>Ai cần làm gì để giúp bạn hoàn thành các bước hành động này? Viết tên bên cạnh bước hành động.</t>
  </si>
  <si>
    <t>Cine trebuie să facă ce să vă ajute să îndepliniți acești pași de acțiune? Scrieți numele în jos lângă pasul de acțiune.</t>
  </si>
  <si>
    <t>તમને આ ક્રિયાત્મક પગલાં પૂર્ણ કરવામાં સહાય માટે કોને શું કરવાની જરૂર છે? ક્રિયાના પગલાની આગળ નામો લખો.</t>
  </si>
  <si>
    <t>ਇਹਨਾਂ ਕਾਰਜਕਾਲਾਂ ਨੂੰ ਪੂਰਾ ਕਰਨ ਵਿੱਚ ਕਿਸਦੀ ਮਦਦ ਕਰਨ ਦੀ ਜ਼ਰੂਰਤ ਹੈ? ਕਾਰਜ ਕਦਮ ਦੇ ਅੱਗੇ ਨਾਮ ਲਿਖੋ.</t>
  </si>
  <si>
    <t>පරම්පරාගත සිතියම්කරණ මෙවලමෙහි ඊළඟ පරම්පරාවේ හතරවන කොටස පුරවන විට ඇසිය හැකි ප්‍රශ්න:</t>
  </si>
  <si>
    <t>Các câu hỏi tiềm năng cần hỏi khi điền vào Phần thứ tư, phần Thế hệ tiếp theo, của Công cụ lập bản đồ thế hệ:</t>
  </si>
  <si>
    <t>Întrebări potențiale de pus atunci când completați secțiunea a patra, secțiunea generație următoare, a instrumentului de mapare generațională:</t>
  </si>
  <si>
    <t>જનરેશનલ મેપિંગ ટૂલનો વિભાગ ચાર, નેક્સ્ટ જનરેશન વિભાગ ભરીને પૂછવા માટે સંભવિત પ્રશ્નો:</t>
  </si>
  <si>
    <t>ਪੀੜ੍ਹੀ ਦੇ ਮੈਪਿੰਗ ਟੂਲ ਦਾ ਸੈਕਸ਼ਨ ਚਾਰ, ਅਗਲੀ ਪੀੜ੍ਹੀ ਦਾ ਭਾਗ ਭਰਨ ਵੇਲੇ ਪੁੱਛਣ ਲਈ ਸੰਭਾਵਿਤ ਪ੍ਰਸ਼ਨ:</t>
  </si>
  <si>
    <t>ඔබ ඊළඟ පරම්පරාවේ නායකයින් පුහුණු කරන්නේ කෙසේද?</t>
  </si>
  <si>
    <t>Bạn đang huấn luyện những nhà lãnh đạo thế hệ tiếp theo này như thế nào?</t>
  </si>
  <si>
    <t>Cum te antrenezi pe acești lideri ai generației următoare?</t>
  </si>
  <si>
    <t>તમે આ પે generationીના નેતાઓને કેવી રીતે કોચિંગ આપી રહ્યાં છો?</t>
  </si>
  <si>
    <t>ਤੁਸੀਂ ਅਗਲੀ ਪੀੜ੍ਹੀ ਦੇ ਨੇਤਾਵਾਂ ਦੀ ਕਿਵੇਂ ਸਿਖਲਾਈ ਦੇ ਰਹੇ ਹੋ?</t>
  </si>
  <si>
    <t>ඔබේ පුහුණු කිරීමේදී හොඳින් වැඩ කරන්නේ කුමක්ද?</t>
  </si>
  <si>
    <t>Điều gì đang hoạt động tốt trong quá trình huấn luyện của bạn?</t>
  </si>
  <si>
    <t>Ce funcționează bine în antrenamentul dvs.?</t>
  </si>
  <si>
    <t>તમારી કોચિંગમાં શું સારું કામ કરી રહ્યું છે?</t>
  </si>
  <si>
    <t>ਤੁਹਾਡੀ ਕੋਚਿੰਗ ਵਿੱਚ ਕੀ ਵਧੀਆ ਕੰਮ ਕਰ ਰਿਹਾ ਹੈ?</t>
  </si>
  <si>
    <t>මෙම නායකයින් පුහුණු කිරීමේදී ඔබට උදව් අවශ්‍ය වන්නේ කොතැනින්ද?</t>
  </si>
  <si>
    <t>Bạn cần trợ giúp ở đâu trong việc huấn luyện những nhà lãnh đạo này?</t>
  </si>
  <si>
    <t>Unde ai nevoie de ajutor pentru antrenarea acestor lideri?</t>
  </si>
  <si>
    <t>આ નેતાઓને કોચ કરવામાં તમને ક્યાં મદદની જરૂર છે?</t>
  </si>
  <si>
    <t>ਤੁਹਾਨੂੰ ਇਨ੍ਹਾਂ ਨੇਤਾਵਾਂ ਨੂੰ ਕੋਚਿੰਗ ਦੇਣ ਵਿੱਚ ਕਿੱਥੇ ਮਦਦ ਦੀ ਲੋੜ ਹੈ?</t>
  </si>
  <si>
    <t>මෙම ඊළඟ පරම්පරාවේ කණ්ඩායම් තුළ කණ්ඩායම් හොඳින් කරන කාර්යයන් මොනවාද? ඔවුන් අරගල කරන්නේ හෝ උපකාර අවශ්‍ය වන්නේ කොතැනින්ද?</t>
  </si>
  <si>
    <t>Các nhóm làm tốt chức năng nào trong các nhóm thế hệ tiếp theo này? Họ gặp khó khăn hoặc cần giúp đỡ ở đâu?</t>
  </si>
  <si>
    <t>Ce funcții funcționează grupurile în aceste grupuri de generație următoare? Unde se luptă sau au nevoie de ajutor?</t>
  </si>
  <si>
    <t>આ આગામી પે generationીના જૂથોમાં જૂથો કયા કાર્યો સારી રીતે કરી રહ્યા છે? તેઓ ક્યાં સંઘર્ષ કરે છે અથવા સહાયની જરૂર છે?</t>
  </si>
  <si>
    <t>ਇਹ ਅਗਲੀਆਂ ਪੀੜ੍ਹੀਆਂ ਦੇ ਸਮੂਹਾਂ ਵਿੱਚ ਕਿਹੜੇ ਕਾਰਜ ਵਧੀਆ ਕਰ ਰਹੇ ਹਨ? ਉਹ ਕਿੱਥੇ ਸੰਘਰਸ਼ ਕਰਦੇ ਹਨ ਜਾਂ ਮਦਦ ਦੀ ਜ਼ਰੂਰਤ ਹੈ?</t>
  </si>
  <si>
    <t>එක් එක් නායකයාට සහ කණ්ඩායමට අවශ්‍ය පුහුණුව කුමක්ද?</t>
  </si>
  <si>
    <t>Mỗi người lãnh đạo và nhóm cần được đào tạo những gì?</t>
  </si>
  <si>
    <t>Ce pregătire are nevoie de fiecare lider și grup?</t>
  </si>
  <si>
    <t>દરેક નેતા અને જૂથને કઈ તાલીમની જરૂર છે?</t>
  </si>
  <si>
    <t>ਹਰੇਕ ਨੇਤਾ ਅਤੇ ਸਮੂਹ ਨੂੰ ਕਿਹੜੀ ਸਿਖਲਾਈ ਦੀ ਜਰੂਰਤ ਹੈ?</t>
  </si>
  <si>
    <t>මෙම පුහුණුව ලබා දෙන්නේ කවුද සහ කෙසේද?</t>
  </si>
  <si>
    <t>Khóa đào tạo này sẽ được cung cấp cho ai và như thế nào?</t>
  </si>
  <si>
    <t>Cine și cum va fi oferit acest antrenament?</t>
  </si>
  <si>
    <t>આ તાલીમ કોને અને કેવી રીતે અપાશે?</t>
  </si>
  <si>
    <t>ਇਹ ਸਿਖਲਾਈ ਕਿਸਨੂੰ ਅਤੇ ਕਿਵੇਂ ਦਿੱਤੀ ਜਾਏਗੀ?</t>
  </si>
  <si>
    <t>මෙම නායකයින් දිරිගැන්වීම, සහයෝගය දැක්වීම, යාච් pray ා කිරීම සහ වගවීම සඳහා ඔබ කරන්නේ කුමක්ද?</t>
  </si>
  <si>
    <t>Bạn đang làm gì để khuyến khích, ủng hộ, cầu nguyện và yêu cầu những nhà lãnh đạo này phải chịu trách nhiệm?</t>
  </si>
  <si>
    <t>Ce faci pentru a încuraja, a sprijini, a te ruga și a-i responsabiliza pe acești lideri?</t>
  </si>
  <si>
    <t>તમે આ નેતાઓને જવાબદાર રાખવા માટે પ્રોત્સાહન આપવા, ટેકો આપવા, પ્રાર્થના કરવા અને પકડવા માટે શું કરી રહ્યા છો?</t>
  </si>
  <si>
    <t>ਤੁਸੀਂ ਇਨ੍ਹਾਂ ਨੇਤਾਵਾਂ ਨੂੰ ਜਵਾਬਦੇਹ, ਸਹਾਇਤਾ, ਪ੍ਰਾਰਥਨਾ ਅਤੇ ਜਵਾਬਦੇਹ ਬਣਾਉਣ ਲਈ ਕੀ ਕਰ ਰਹੇ ਹੋ?</t>
  </si>
  <si>
    <t>ඊළඟ කාල පරිච්ඡේදයේදී (උදා: මාස තුනක්) ඔබ එක් එක් නායකයා පුහුණු කරන විට ඔබේ ඉලක්කය හා ක්‍රියාකාරී පියවර මොනවාද?</t>
  </si>
  <si>
    <t>Mục tiêu và các bước hành động của bạn là gì khi bạn huấn luyện từng nhà lãnh đạo trong giai đoạn tiếp theo (ví dụ: ba tháng)?</t>
  </si>
  <si>
    <t>Care este obiectivul și pașii dvs. de acțiune în timp ce vă antrenați fiecare lider în perioada următoare (de exemplu, trei luni)?</t>
  </si>
  <si>
    <t>આગલા સમયગાળામાં (જેમ કે ત્રણ મહિના) દરેક નેતાને કોચ કરો ત્યારે તમારું લક્ષ્ય અને ક્રિયાનાં પગલાં શું છે?</t>
  </si>
  <si>
    <t>ਜਦੋਂ ਤੁਸੀਂ ਅਗਲੀ ਅਵਧੀ (ਜਿਵੇਂ ਕਿ ਤਿੰਨ ਮਹੀਨਿਆਂ) ਵਿੱਚ ਹਰੇਕ ਨੇਤਾ ਦੀ ਕੋਚ ਲੈਂਦੇ ਹੋ ਤਾਂ ਤੁਹਾਡਾ ਟੀਚਾ ਅਤੇ ਕਾਰਜ ਕੀ ਹਨ?</t>
  </si>
  <si>
    <t>දත්ත</t>
  </si>
  <si>
    <t>Dữ liệu</t>
  </si>
  <si>
    <t>Date</t>
  </si>
  <si>
    <t>ડેટા</t>
  </si>
  <si>
    <t>ਡਾਟਾ</t>
  </si>
  <si>
    <t>Es iglesia</t>
  </si>
  <si>
    <t>Est l'église</t>
  </si>
  <si>
    <t>চার্চ</t>
  </si>
  <si>
    <t>ቤተክርስቲያን ናት</t>
  </si>
  <si>
    <t>Ndi Mpingo</t>
  </si>
  <si>
    <t>Ni Kanisa</t>
  </si>
  <si>
    <t>ဘုရားကျောင်းဖြစ်သည်</t>
  </si>
  <si>
    <t>教会です</t>
  </si>
  <si>
    <t>चर्च है</t>
  </si>
  <si>
    <t>É igreja</t>
  </si>
  <si>
    <t>சர்ச்</t>
  </si>
  <si>
    <t>చర్చి</t>
  </si>
  <si>
    <t>Церковь</t>
  </si>
  <si>
    <t>Este Biserica</t>
  </si>
  <si>
    <t>Se legliz</t>
  </si>
  <si>
    <t>교회인가</t>
  </si>
  <si>
    <t>පල්ලිය</t>
  </si>
  <si>
    <t>Là nhà thờ</t>
  </si>
  <si>
    <t>ચર્ચ છે</t>
  </si>
  <si>
    <t>ਚਰਚ ਹੈ</t>
  </si>
  <si>
    <t>Grupos nuevos</t>
  </si>
  <si>
    <t>suma</t>
  </si>
  <si>
    <t>somme</t>
  </si>
  <si>
    <t>সমষ্টি</t>
  </si>
  <si>
    <t>ድምር</t>
  </si>
  <si>
    <t>kuchuluka</t>
  </si>
  <si>
    <t>jumla</t>
  </si>
  <si>
    <t>ပေါင်းလဒ်</t>
  </si>
  <si>
    <t>和</t>
  </si>
  <si>
    <t>योग</t>
  </si>
  <si>
    <t>soma</t>
  </si>
  <si>
    <t>தொகை</t>
  </si>
  <si>
    <t>మొత్తం</t>
  </si>
  <si>
    <t>сумма</t>
  </si>
  <si>
    <t>sumă</t>
  </si>
  <si>
    <t>sòm</t>
  </si>
  <si>
    <t>합집합</t>
  </si>
  <si>
    <t>එකතුව</t>
  </si>
  <si>
    <t>Tổng</t>
  </si>
  <si>
    <t>સરવાળો</t>
  </si>
  <si>
    <t>ਰਕਮ</t>
  </si>
  <si>
    <t>Promedio</t>
  </si>
  <si>
    <t>Moy.</t>
  </si>
  <si>
    <t>গড়।</t>
  </si>
  <si>
    <t>አማካይ</t>
  </si>
  <si>
    <t>Avg ။</t>
  </si>
  <si>
    <t>平均</t>
  </si>
  <si>
    <t>औसत।</t>
  </si>
  <si>
    <t>Méd.</t>
  </si>
  <si>
    <t>சராசரி.</t>
  </si>
  <si>
    <t>కనీస.</t>
  </si>
  <si>
    <t>Med.</t>
  </si>
  <si>
    <t>Mwayèn.</t>
  </si>
  <si>
    <t>평균</t>
  </si>
  <si>
    <t>සාමාන්‍ය.</t>
  </si>
  <si>
    <t>Trung bình</t>
  </si>
  <si>
    <t>સરેરાશ</t>
  </si>
  <si>
    <t>.ਸਤ</t>
  </si>
  <si>
    <t>rangée</t>
  </si>
  <si>
    <t>ረድፍ</t>
  </si>
  <si>
    <t>mzere</t>
  </si>
  <si>
    <t>safu</t>
  </si>
  <si>
    <t>အတန်း</t>
  </si>
  <si>
    <t>行</t>
  </si>
  <si>
    <t>पंक्ति</t>
  </si>
  <si>
    <t>linha</t>
  </si>
  <si>
    <t>வரிசை</t>
  </si>
  <si>
    <t>వరుసగా</t>
  </si>
  <si>
    <t>строка</t>
  </si>
  <si>
    <t>rând</t>
  </si>
  <si>
    <t>열</t>
  </si>
  <si>
    <t>පේළිය</t>
  </si>
  <si>
    <t>hàng</t>
  </si>
  <si>
    <t>પંક્તિ</t>
  </si>
  <si>
    <t>ਕਤਾਰ</t>
  </si>
  <si>
    <t>Sélectionner</t>
  </si>
  <si>
    <t>ይምረጡ</t>
  </si>
  <si>
    <t>Sankhani</t>
  </si>
  <si>
    <t>Chagua</t>
  </si>
  <si>
    <t>ရွေးချယ်ပါ</t>
  </si>
  <si>
    <t>選択する</t>
  </si>
  <si>
    <t>चुनते हैं</t>
  </si>
  <si>
    <t>Selecione</t>
  </si>
  <si>
    <t>தேர்ந்தெடு</t>
  </si>
  <si>
    <t>ఎంచుకోండి</t>
  </si>
  <si>
    <t>Выбрать</t>
  </si>
  <si>
    <t>Selectați</t>
  </si>
  <si>
    <t>고르다</t>
  </si>
  <si>
    <t>තෝරන්න</t>
  </si>
  <si>
    <t>Lựa chọn</t>
  </si>
  <si>
    <t>પસંદ કરો</t>
  </si>
  <si>
    <t>ਚੁਣੋ</t>
  </si>
  <si>
    <t>ENREGISTRER toutes les informations mises à jour dans l'onglet Données.</t>
  </si>
  <si>
    <t>ሁሉንም የተዘመኑ መረጃዎች ወደ የውሂብ ትሩ ያስቀምጡ ፡፡</t>
  </si>
  <si>
    <t>Sungani zidziwitso zonse zosinthidwa ku tabu ya data.</t>
  </si>
  <si>
    <t>Hifadhi habari zote zilizosasishwa kwenye tabo ya data.</t>
  </si>
  <si>
    <t>နောက်ဆုံးပေါ်အချက်အလက်များကို data tab သို့သိမ်းပါ။</t>
  </si>
  <si>
    <t>更新されたすべての情報をデータタブに保存します。</t>
  </si>
  <si>
    <t>डेटा टैब के लिए सभी अद्यतन जानकारी को बचाएं।</t>
  </si>
  <si>
    <t>SALVE todas as informações atualizadas na guia de dados.</t>
  </si>
  <si>
    <t>புதுப்பிக்கப்பட்ட அனைத்து தகவல்களையும் தரவு தாவலில் சேமிக்கவும்.</t>
  </si>
  <si>
    <t>నవీకరించబడిన మొత్తం సమాచారాన్ని డేటా టాబ్‌లో సేవ్ చేయండి.</t>
  </si>
  <si>
    <t>СОХРАНИТЕ всю обновленную информацию на вкладке данных.</t>
  </si>
  <si>
    <t>SALVAȚI toate informațiile actualizate în fila de date.</t>
  </si>
  <si>
    <t>업데이트 된 모든 정보를 데이터 탭에 저장합니다.</t>
  </si>
  <si>
    <t>යාවත්කාලීන කළ සියලුම තොරතුරු දත්ත පටිත්තට සුරකින්න.</t>
  </si>
  <si>
    <t>LƯU tất cả thông tin cập nhật vào tab dữ liệu.</t>
  </si>
  <si>
    <t>ડેટા ટેબ પર બધી અપડેટ કરેલી માહિતીને સાચવો.</t>
  </si>
  <si>
    <t>ਸਾਰੀ ਅਪਡੇਟ ਕੀਤੀ ਜਾਣਕਾਰੀ ਨੂੰ ਡਾਟਾ ਟੈਬ ਵਿੱਚ ਸੁਰੱਖਿਅਤ ਕਰੋ.</t>
  </si>
  <si>
    <t>Ningún círculo. Haga clic en el icono exterior hasta que no haya ningún círculo.</t>
  </si>
  <si>
    <t>Pas de cercle. Cliquez sur l'icône extérieure jusqu'à ce qu'il n'y ait pas de cercle.</t>
  </si>
  <si>
    <t>ምንም ክበብ የለም። ምንም ክበብ እስከሌለ ድረስ የውጭውን አዶ ጠቅ ያድርጉ።</t>
  </si>
  <si>
    <t>Palibe bwalo. Dinani chizindikiro chakunja mpaka palibe bwalo.</t>
  </si>
  <si>
    <t>Hakuna mduara. Bonyeza ikoni ya nje hadi hakuna mzunguko.</t>
  </si>
  <si>
    <t>စက်ဝိုင်းမရှိ။ စက်ဝိုင်းမရှိသည့်တိုင်အောင်ပြင်ပပုံသင်္ကေတကိုနှိပ်ပါ။</t>
  </si>
  <si>
    <t>サークルはありません。 円がなくなるまで外側のアイコンをクリックします。</t>
  </si>
  <si>
    <t>कोई घेरा नहीं। जब तक कोई मंडली न हो, बाहरी आइकन पर क्लिक करें।</t>
  </si>
  <si>
    <t>Sem círculo. Clique no ícone externo até que não haja nenhum círculo.</t>
  </si>
  <si>
    <t>வட்டம் இல்லை. வட்டம் இல்லாத வரை வெளிப்புற ஐகானைக் கிளிக் செய்க.</t>
  </si>
  <si>
    <t>సర్కిల్ లేదు. సర్కిల్ లేని వరకు బయటి చిహ్నాన్ని క్లిక్ చేయండి.</t>
  </si>
  <si>
    <t>Круга нет. Щелкните внешний значок, пока не исчезнет круг.</t>
  </si>
  <si>
    <t>Fără cerc. Faceți clic pe pictograma exterioară până când nu există niciun cerc.</t>
  </si>
  <si>
    <t>원이 없습니다. 원이 없을 때까지 바깥 쪽 아이콘을 클릭합니다.</t>
  </si>
  <si>
    <t>රවුමක් නැත. රවුමක් නොමැති තෙක් පිටත නිරූපකය ක්ලික් කරන්න.</t>
  </si>
  <si>
    <t>Không có vòng tròn. Nhấp vào biểu tượng bên ngoài cho đến khi không có vòng tròn.</t>
  </si>
  <si>
    <t>કોઈ વર્તુળ નથી. જ્યાં સુધી કોઈ વર્તુળ ન હોય ત્યાં સુધી બહારના ચિહ્નને ક્લિક કરો.</t>
  </si>
  <si>
    <t>ਕੋਈ ਚੱਕਰ ਨਹੀਂ. ਬਾਹਰ ਦਾ ਚਿੰਨ੍ਹ ਕਲਿਕ ਕਰੋ ਜਦੋਂ ਤੱਕ ਕੋਈ ਚੱਕਰ ਨਹੀਂ ਹੁੰਦਾ.</t>
  </si>
  <si>
    <t>Círculo sólido: exterior. Haga clic en un icono exterior para obtener un círculo sólido.</t>
  </si>
  <si>
    <t>Cercle plein - à l'extérieur. Cliquez sur une icône extérieure pour obtenir un cercle solide.</t>
  </si>
  <si>
    <t>ጠንካራ ክበብ - ውጭ። ጠባብ ክበብ ለማግኘት የውጭ አዶን ጠቅ ያድርጉ።</t>
  </si>
  <si>
    <t>Bwalo lolimba - kunja. Dinani chizindikiro chakunja kuti mupeze gulu lolimba.</t>
  </si>
  <si>
    <t>Mduara Mango - nje. Bonyeza ikoni ya nje kupata mduara thabiti.</t>
  </si>
  <si>
    <t>အစိုင်အခဲစက်ဝိုင်း - အပြင်ဘက်။ ခိုင်မာသောစက်ဝိုင်းရရန်ပြင်ပသင်္ကေတကိုနှိပ်ပါ။</t>
  </si>
  <si>
    <t>黒丸-外。 外側のアイコンをクリックすると、塗りつぶされた円が表示されます。</t>
  </si>
  <si>
    <t>ठोस घेरा - बाहर। एक ठोस सर्कल पाने के लिए एक बाहरी आइकन पर क्लिक करें।</t>
  </si>
  <si>
    <t>Círculo sólido - fora. Clique em um ícone externo para obter um círculo sólido.</t>
  </si>
  <si>
    <t>திட வட்டம் - வெளியே. திட வட்டத்தைப் பெற வெளிப்புற ஐகானைக் கிளிக் செய்க.</t>
  </si>
  <si>
    <t>ఘన వృత్తం - వెలుపల. దృ circ మైన వృత్తాన్ని పొందడానికి బయటి చిహ్నాన్ని క్లిక్ చేయండి.</t>
  </si>
  <si>
    <t>Сплошной круг - снаружи. Щелкните внешний значок, чтобы получить сплошной круг.</t>
  </si>
  <si>
    <t>Cercul solid - exterior. Faceți clic pe o pictogramă exterioară pentru a obține un cerc solid.</t>
  </si>
  <si>
    <t>단색 원-바깥 쪽. 단색 원을 얻으려면 바깥 쪽 아이콘을 클릭합니다.</t>
  </si>
  <si>
    <t>Circle න කවය - පිටත. Circle න කවයක් ලබා ගැනීමට පිටත අයිකනයක් ක්ලික් කරන්න.</t>
  </si>
  <si>
    <t>Hình tròn đặc - ngoài. Nhấp vào biểu tượng bên ngoài để có một vòng tròn vững chắc.</t>
  </si>
  <si>
    <t>સોલિડ વર્તુળ - બહાર. નક્કર વર્તુળ મેળવવા માટે બહારના ચિહ્ન પર ક્લિક કરો.</t>
  </si>
  <si>
    <t>ਠੋਸ ਚੱਕਰ - ਬਾਹਰ. ਇੱਕ ਠੋਸ ਚੱਕਰ ਪ੍ਰਾਪਤ ਕਰਨ ਲਈ ਬਾਹਰੀ ਆਈਕਾਨ ਤੇ ਕਲਿਕ ਕਰੋ.</t>
  </si>
  <si>
    <t>Círculo de guiones: adentro. Haga clic en un icono interior una vez para obtener un círculo de guiones.</t>
  </si>
  <si>
    <t>Cercle de tiret - à l'intérieur. Cliquez une fois sur une icône intérieure pour obtenir un cercle de tirets.</t>
  </si>
  <si>
    <t>ዳሽ ክበብ - ውስጡ። አንድ ሰረዝ ክበብ ለማግኘት አንድ ጊዜ ውስጥ አዶ ጠቅ ያድርጉ።</t>
  </si>
  <si>
    <t>Kuzungulira mzere - mkati. Dinani chithunzi chamkati kamodzi kuti mupeze mzere wozungulira.</t>
  </si>
  <si>
    <t>Dash mduara - ndani. Bonyeza ikoni ya ndani mara moja kupata duara la dashi.</t>
  </si>
  <si>
    <t>Dash စက်ဝိုင်း - အတွင်းပိုင်း။ dash စက်ဝိုင်းတစ်ခုရရှိရန်တစ်ချိန်တည်းရှိအတွင်း icon တစ်ခုကိုနှိပ်ပါ။</t>
  </si>
  <si>
    <t>ダッシュサークル-内側。 内側のアイコンを1回クリックして、破線の円を取得します。</t>
  </si>
  <si>
    <t>डैश सर्कल - अंदर। डैश सर्कल पाने के लिए एक बार अंदर के आइकन पर क्लिक करें।</t>
  </si>
  <si>
    <t>Círculo de traço - dentro. Clique em um ícone interno uma vez para obter um círculo de traço.</t>
  </si>
  <si>
    <t>கோடு வட்டம் - உள்ளே. கோடு வட்டத்தைப் பெற ஒரு முறை உள்ளே ஐகானைக் கிளிக் செய்க.</t>
  </si>
  <si>
    <t>డాష్ సర్కిల్ - లోపల. డాష్ సర్కిల్ పొందడానికి ఒకసారి లోపలి చిహ్నాన్ని క్లిక్ చేయండి.</t>
  </si>
  <si>
    <t>Круг черточки - внутри. Щелкните значок внутри один раз, чтобы получить прочерченный круг.</t>
  </si>
  <si>
    <t>Cercul de bord - în interior. Faceți clic pe o pictogramă din interior pentru a obține un cerc.</t>
  </si>
  <si>
    <t>대시 원-내부. 내부 아이콘을 한 번 클릭하면 대시 원이 표시됩니다.</t>
  </si>
  <si>
    <t>ඉරක් රවුම - ඇතුළත. ඉරක් කවයක් ලබා ගැනීමට එක් වරක් ඇතුළත අයිකනයක් ක්ලික් කරන්න.</t>
  </si>
  <si>
    <t>Vòng tròn gạch ngang - bên trong. Nhấp vào biểu tượng bên trong một lần để có một vòng tròn gạch ngang.</t>
  </si>
  <si>
    <t>આડંબર વર્તુળ - અંદર. આડંબર વર્તુળ મેળવવા માટે એકવાર અંદરનાં ચિહ્ન પર ક્લિક કરો.</t>
  </si>
  <si>
    <t>ਡੈਸ਼ ਸਰਕਲ - ਅੰਦਰ. ਡੈਸ਼ ਸਰਕਲ ਪ੍ਰਾਪਤ ਕਰਨ ਲਈ ਇਕ ਵਾਰ ਅੰਦਰੂਨੀ ਆਈਕਨ ਤੇ ਕਲਿਕ ਕਰੋ.</t>
  </si>
  <si>
    <t>Círculo sólido: interior. Vuelva a hacer clic en un icono interior para obtener un círculo sólido.</t>
  </si>
  <si>
    <t>Cercle plein - à l'intérieur. Cliquez à nouveau sur une icône intérieure pour obtenir un cercle plein.</t>
  </si>
  <si>
    <t>ጠንካራ ክበብ - ውስጡ። ጠንካራ ክበብ ለማግኘት እንደገና ውስጣዊ አዶውን ጠቅ ያድርጉ።</t>
  </si>
  <si>
    <t>Malo ozungulira - mkati. Dinani chithunzi chamkati kachiwiri kuti mupeze gulu lolimba.</t>
  </si>
  <si>
    <t>Mduara thabiti - ndani. Bonyeza ikoni ya ndani tena kupata duara thabiti.</t>
  </si>
  <si>
    <t>အစိုင်အခဲစက်ဝိုင်း - အတွင်းပိုင်း။ ခိုင်မာသောစက်ဝိုင်းရရန်အတွင်းပိုင်းအိုင်ကွန်ကိုထပ်နှိပ်ပါ။</t>
  </si>
  <si>
    <t>黒丸-内側。 もう一度内側のアイコンをクリックすると、塗りつぶされた円が表示されます。</t>
  </si>
  <si>
    <t>सॉलिड सर्कल - अंदर। एक ठोस सर्कल पाने के लिए फिर से एक अंदरूनी आइकन पर क्लिक करें।</t>
  </si>
  <si>
    <t>Círculo sólido - dentro. Clique em um ícone interno novamente para obter um círculo sólido.</t>
  </si>
  <si>
    <t>திட வட்டம் - உள்ளே. திட வட்டத்தைப் பெற மீண்டும் உள் ஐகானைக் கிளிக் செய்க.</t>
  </si>
  <si>
    <t>ఘన వృత్తం - లోపల. దృ circ మైన వృత్తాన్ని పొందడానికి లోపలి చిహ్నాన్ని మళ్లీ క్లిక్ చేయండి.</t>
  </si>
  <si>
    <t>Сплошной круг - внутри. Снова щелкните значок внутри, чтобы получить сплошной круг.</t>
  </si>
  <si>
    <t>Cercul solid - în interior. Faceți clic din nou pe o pictogramă din interior pentru a obține un cerc solid.</t>
  </si>
  <si>
    <t>단색 원-내부. 내부 아이콘을 다시 클릭하면 단색 원이 표시됩니다.</t>
  </si>
  <si>
    <t>Circle න කවය - ඇතුළත. Circle න කවයක් ලබා ගැනීම සඳහා නැවත ඇතුළත අයිකනයක් ක්ලික් කරන්න.</t>
  </si>
  <si>
    <t>Hình tròn đặc - trong. Nhấp vào biểu tượng bên trong một lần nữa để có được một vòng tròn vững chắc.</t>
  </si>
  <si>
    <t>સોલિડ વર્તુળ - અંદર. નક્કર વર્તુળ મેળવવા માટે ફરીથી આંતરિક ચિહ્ન પર ક્લિક કરો.</t>
  </si>
  <si>
    <t>ਠੋਸ ਚੱਕਰ - ਅੰਦਰ. ਇੱਕ ਠੋਸ ਚੱਕਰ ਪ੍ਰਾਪਤ ਕਰਨ ਲਈ ਦੁਬਾਰਾ ਅੰਦਰੂਨੀ ਆਈਕਨ ਤੇ ਕਲਿਕ ਕਰੋ.</t>
  </si>
  <si>
    <t>Haga clic en el círculo grande una vez para obtener un círculo de guiones.</t>
  </si>
  <si>
    <t>Cliquez une fois sur le grand cercle pour obtenir un cercle de tirets.</t>
  </si>
  <si>
    <t>አንድ ሰረዝ ክበብ ለማግኘት አንድ ጊዜ ትልቁን ክበብ ጠቅ ያድርጉ።</t>
  </si>
  <si>
    <t>Dinani bwalo lalikulu kamodzi kuti mupange mzere wozungulira.</t>
  </si>
  <si>
    <t>Bonyeza duara kubwa mara moja kupata mduara wa dashi.</t>
  </si>
  <si>
    <t>မျဉ်းရှည်တစ်ခုကိုရရန်တစ်ချိန်ကကြီးမားသောစက်ဝိုင်းကိုနှိပ်ပါ။</t>
  </si>
  <si>
    <t>大きな円を1回クリックして、ダッシュ円を取得します。</t>
  </si>
  <si>
    <t>डैश सर्कल पाने के लिए एक बार बड़े सर्कल पर क्लिक करें।</t>
  </si>
  <si>
    <t>Clique no círculo grande uma vez para obter um círculo de traço.</t>
  </si>
  <si>
    <t>கோடு வட்டத்தைப் பெற பெரிய வட்டத்தை ஒரு முறை கிளிக் செய்க.</t>
  </si>
  <si>
    <t>డాష్ సర్కిల్ పొందడానికి పెద్ద సర్కిల్‌ని ఒకసారి క్లిక్ చేయండి.</t>
  </si>
  <si>
    <t>Щелкните большой круг один раз, чтобы получить штриховой круг.</t>
  </si>
  <si>
    <t>Faceți clic o dată pe cercul mare pentru a obține un cerc.</t>
  </si>
  <si>
    <t>큰 원을 한 번 클릭하면 대시 원이 나타납니다.</t>
  </si>
  <si>
    <t>ඉරක් කවයක් ලබා ගැනීමට වරක් විශාල කවය ක්ලික් කරන්න.</t>
  </si>
  <si>
    <t>Nhấp vào vòng tròn lớn một lần để có vòng tròn gạch ngang.</t>
  </si>
  <si>
    <t>ડેશ વર્તુળ મેળવવા માટે એકવાર મોટા વર્તુળને ક્લિક કરો.</t>
  </si>
  <si>
    <t>ਡੈਸ਼ ਸਰਕਲ ਪ੍ਰਾਪਤ ਕਰਨ ਲਈ ਇੱਕ ਵਾਰ ਵੱਡੇ ਸਰਕਲ ਤੇ ਕਲਿਕ ਕਰੋ.</t>
  </si>
  <si>
    <t>Cliquez à nouveau sur le grand cercle pour obtenir un cercle plein.</t>
  </si>
  <si>
    <t>ጠባብ ክበብ ለማግኘት እንደገና ትልቁን ክብ እንደገና ጠቅ ያድርጉ።</t>
  </si>
  <si>
    <t>Dinani bwalo lalikulu kuti muthe kuzunguliza.</t>
  </si>
  <si>
    <t>Bonyeza mduara Mkubwa tena kupata mduara thabiti.</t>
  </si>
  <si>
    <t>ခိုင်မာသောစက်ဝိုင်းတစ်ခုရရှိရန်ကြီးမားသောစက်ဝန်းကိုထပ်မံနှိပ်ပါ။</t>
  </si>
  <si>
    <t>大きな円をもう一度クリックして、中実の円を取得します。</t>
  </si>
  <si>
    <t>ठोस सर्कल प्राप्त करने के लिए बड़े सर्कल पर फिर से क्लिक करें।</t>
  </si>
  <si>
    <t>Clique no círculo grande novamente para obter um círculo sólido.</t>
  </si>
  <si>
    <t>திட வட்டத்தைப் பெற மீண்டும் பெரிய வட்டத்தைக் கிளிக் செய்க.</t>
  </si>
  <si>
    <t>దృ circ మైన వృత్తం పొందడానికి మళ్ళీ పెద్ద సర్కిల్ క్లిక్ చేయండి.</t>
  </si>
  <si>
    <t>Щелкните Большой круг еще раз, чтобы получить сплошной круг.</t>
  </si>
  <si>
    <t>Faceți clic din nou pe cercul mare pentru a obține un cerc solid.</t>
  </si>
  <si>
    <t>큰 원을 다시 클릭하면 단색 원이 표시됩니다.</t>
  </si>
  <si>
    <t>Circle න කවයක් ලබා ගැනීම සඳහා නැවත විශාල කවය ක්ලික් කරන්න.</t>
  </si>
  <si>
    <t>Nhấp vào Vòng tròn lớn một lần nữa để có được một hình tròn đặc.</t>
  </si>
  <si>
    <t>નક્કર વર્તુળ મેળવવા માટે ફરીથી મોટા વર્તુળ પર ક્લિક કરો.</t>
  </si>
  <si>
    <t>ਠੋਸ ਚੱਕਰ ਬਣਾਉਣ ਲਈ ਦੁਬਾਰਾ ਵੱਡੇ ਚੱਕਰ ਤੇ ਕਲਿਕ ਕਰੋ.</t>
  </si>
  <si>
    <t xml:space="preserve">  </t>
  </si>
  <si>
    <t>ch</t>
  </si>
  <si>
    <t>x</t>
  </si>
  <si>
    <t>Satura Colombia</t>
  </si>
  <si>
    <t>Satura Naciones</t>
  </si>
  <si>
    <t>Juan Guillermo Cardona</t>
  </si>
  <si>
    <t>Liliana Cordoba   /  Grupo Red iglesias de pequeños grupos   /  04-abr-21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</si>
</sst>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5000445]0"/>
    <numFmt numFmtId="165" formatCode="[$-409]dd\-mmm\-yy;@"/>
    <numFmt numFmtId="166" formatCode="0.0"/>
    <numFmt numFmtId="167" formatCode="0.0000"/>
    <numFmt numFmtId="168" formatCode="[$-10000455]0"/>
    <numFmt numFmtId="169" formatCode="[$-1540A]dd\-mmm\-yy;@"/>
  </numFmts>
  <fonts count="74">
    <font>
      <sz val="11"/>
      <color theme="1"/>
      <name val="Calibri"/>
      <family val="2"/>
      <scheme val="minor"/>
    </font>
    <font>
      <sz val="10"/>
      <color theme="1"/>
      <name val="Calibri"/>
      <family val="2"/>
      <scheme val="minor"/>
    </font>
    <font>
      <sz val="8"/>
      <color theme="1"/>
      <name val="Calibri"/>
      <family val="2"/>
      <scheme val="minor"/>
    </font>
    <font>
      <sz val="9"/>
      <color theme="1"/>
      <name val="Calibri"/>
      <family val="2"/>
      <scheme val="minor"/>
    </font>
    <font>
      <sz val="7"/>
      <color theme="1"/>
      <name val="Calibri"/>
      <family val="2"/>
      <scheme val="minor"/>
    </font>
    <font>
      <sz val="8"/>
      <color theme="1"/>
      <name val="Calibri Light"/>
      <family val="2"/>
      <scheme val="major"/>
    </font>
    <font>
      <sz val="6"/>
      <color theme="0"/>
      <name val="Calibri Light"/>
      <family val="2"/>
      <scheme val="major"/>
    </font>
    <font>
      <sz val="8"/>
      <color theme="0"/>
      <name val="Calibri Light"/>
      <family val="2"/>
      <scheme val="major"/>
    </font>
    <font>
      <sz val="10"/>
      <color theme="0"/>
      <name val="Calibri"/>
      <family val="2"/>
      <scheme val="minor"/>
    </font>
    <font>
      <sz val="6"/>
      <color theme="0"/>
      <name val="Calibri"/>
      <family val="2"/>
      <scheme val="minor"/>
    </font>
    <font>
      <sz val="12"/>
      <color theme="1"/>
      <name val="Calibri"/>
      <family val="2"/>
      <scheme val="minor"/>
    </font>
    <font>
      <sz val="11"/>
      <color theme="0"/>
      <name val="Calibri"/>
      <family val="2"/>
      <scheme val="minor"/>
    </font>
    <font>
      <sz val="18"/>
      <color theme="1"/>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6"/>
      <color theme="1"/>
      <name val="Calibri Light"/>
      <family val="2"/>
      <scheme val="major"/>
    </font>
    <font>
      <sz val="9"/>
      <color theme="1"/>
      <name val="Calibri Light"/>
      <family val="2"/>
      <scheme val="major"/>
    </font>
    <font>
      <sz val="10"/>
      <color theme="1"/>
      <name val="Calibri Light"/>
      <family val="2"/>
      <scheme val="major"/>
    </font>
    <font>
      <sz val="11"/>
      <color theme="1"/>
      <name val="Calibri Light"/>
      <family val="2"/>
      <scheme val="major"/>
    </font>
    <font>
      <sz val="11"/>
      <color theme="0"/>
      <name val="Calibri Light"/>
      <family val="2"/>
      <scheme val="major"/>
    </font>
    <font>
      <sz val="10.5"/>
      <color theme="1"/>
      <name val="Calibri Light"/>
      <family val="2"/>
      <scheme val="major"/>
    </font>
    <font>
      <sz val="8"/>
      <name val="Calibri Light"/>
      <family val="2"/>
      <scheme val="major"/>
    </font>
    <font>
      <sz val="6"/>
      <color theme="1"/>
      <name val="Calibri"/>
      <family val="2"/>
      <scheme val="minor"/>
    </font>
    <font>
      <i/>
      <sz val="8"/>
      <color theme="1"/>
      <name val="Calibri Light"/>
      <family val="2"/>
      <scheme val="major"/>
    </font>
    <font>
      <sz val="7"/>
      <color theme="1"/>
      <name val="Calibri Light"/>
      <family val="2"/>
      <scheme val="major"/>
    </font>
    <font>
      <sz val="8"/>
      <color theme="2" tint="-0.499984740745262"/>
      <name val="Calibri"/>
      <family val="2"/>
      <scheme val="minor"/>
    </font>
    <font>
      <i/>
      <sz val="14"/>
      <color theme="1"/>
      <name val="Calibri"/>
      <family val="2"/>
      <scheme val="minor"/>
    </font>
    <font>
      <sz val="12"/>
      <color theme="0"/>
      <name val="Calibri"/>
      <family val="2"/>
      <scheme val="minor"/>
    </font>
    <font>
      <b/>
      <sz val="18"/>
      <color theme="1"/>
      <name val="Calibri"/>
      <family val="2"/>
      <scheme val="minor"/>
    </font>
    <font>
      <b/>
      <i/>
      <sz val="11"/>
      <color theme="1"/>
      <name val="Calibri"/>
      <family val="2"/>
      <scheme val="minor"/>
    </font>
    <font>
      <sz val="6"/>
      <color rgb="FF000066"/>
      <name val="Calibri Light"/>
      <family val="2"/>
      <scheme val="major"/>
    </font>
    <font>
      <sz val="6"/>
      <color rgb="FF002060"/>
      <name val="Calibri Light"/>
      <family val="2"/>
      <scheme val="major"/>
    </font>
    <font>
      <sz val="11"/>
      <color indexed="16"/>
      <name val="Arial Narrow"/>
      <family val="2"/>
    </font>
    <font>
      <sz val="11"/>
      <name val="Calibri"/>
      <family val="2"/>
      <scheme val="minor"/>
    </font>
    <font>
      <sz val="12"/>
      <name val="Calibri"/>
      <family val="2"/>
      <scheme val="minor"/>
    </font>
    <font>
      <sz val="11"/>
      <color theme="2" tint="-0.499984740745262"/>
      <name val="Calibri"/>
      <family val="2"/>
      <scheme val="minor"/>
    </font>
    <font>
      <sz val="13"/>
      <color theme="1"/>
      <name val="SutonnyMJ"/>
    </font>
    <font>
      <sz val="12"/>
      <color rgb="FFFF0000"/>
      <name val="Calibri"/>
      <family val="2"/>
    </font>
    <font>
      <sz val="11"/>
      <color theme="9" tint="0.79998168889431442"/>
      <name val="Calibri"/>
      <family val="2"/>
      <scheme val="minor"/>
    </font>
    <font>
      <sz val="11"/>
      <color rgb="FF140A96"/>
      <name val="Calibri"/>
      <family val="2"/>
      <scheme val="minor"/>
    </font>
    <font>
      <sz val="11"/>
      <color theme="4" tint="0.79998168889431442"/>
      <name val="Calibri"/>
      <family val="2"/>
      <scheme val="minor"/>
    </font>
    <font>
      <sz val="11"/>
      <color theme="0" tint="-4.9989318521683403E-2"/>
      <name val="Calibri"/>
      <family val="2"/>
      <scheme val="minor"/>
    </font>
    <font>
      <sz val="11"/>
      <color theme="0" tint="-0.499984740745262"/>
      <name val="Calibri"/>
      <family val="2"/>
      <scheme val="minor"/>
    </font>
    <font>
      <b/>
      <sz val="11"/>
      <color theme="1"/>
      <name val="Calibri"/>
      <family val="2"/>
      <scheme val="minor"/>
    </font>
    <font>
      <sz val="11"/>
      <color theme="4" tint="-0.499984740745262"/>
      <name val="Calibri"/>
      <family val="2"/>
      <scheme val="minor"/>
    </font>
    <font>
      <b/>
      <sz val="11"/>
      <color theme="1"/>
      <name val="Calibri"/>
      <family val="2"/>
    </font>
    <font>
      <b/>
      <sz val="11"/>
      <color theme="1"/>
      <name val="Calibri Light"/>
      <family val="2"/>
      <scheme val="major"/>
    </font>
    <font>
      <b/>
      <sz val="12"/>
      <color rgb="FF008000"/>
      <name val="Calibri"/>
      <family val="2"/>
    </font>
    <font>
      <sz val="10"/>
      <color rgb="FFDDEBF7"/>
      <name val="Calibri"/>
      <family val="2"/>
      <scheme val="minor"/>
    </font>
    <font>
      <sz val="12"/>
      <color rgb="FFFF0000"/>
      <name val="Calibri"/>
      <family val="2"/>
      <scheme val="minor"/>
    </font>
    <font>
      <u/>
      <sz val="11"/>
      <color rgb="FF140A96"/>
      <name val="Calibri"/>
      <family val="2"/>
      <scheme val="minor"/>
    </font>
    <font>
      <sz val="14"/>
      <color rgb="FF000080"/>
      <name val="Calibri"/>
      <family val="2"/>
      <scheme val="minor"/>
    </font>
    <font>
      <sz val="9"/>
      <name val="Calibri"/>
      <family val="2"/>
      <scheme val="minor"/>
    </font>
    <font>
      <sz val="10"/>
      <name val="Calibri"/>
      <family val="2"/>
      <scheme val="minor"/>
    </font>
    <font>
      <sz val="11"/>
      <color theme="1"/>
      <name val="Nyala"/>
    </font>
    <font>
      <sz val="11"/>
      <color theme="1"/>
      <name val="Kozuka Gothic Pro M"/>
      <family val="2"/>
      <charset val="128"/>
    </font>
    <font>
      <sz val="11"/>
      <color theme="1"/>
      <name val="Calibri"/>
      <family val="2"/>
    </font>
    <font>
      <sz val="11"/>
      <color theme="0"/>
      <name val="Calibri"/>
      <family val="2"/>
    </font>
    <font>
      <sz val="12"/>
      <color theme="1"/>
      <name val="Calibri"/>
      <family val="2"/>
    </font>
    <font>
      <sz val="13"/>
      <color theme="1"/>
      <name val="Calibri"/>
      <family val="2"/>
    </font>
    <font>
      <sz val="11"/>
      <color rgb="FF000000"/>
      <name val="Calibri"/>
      <family val="2"/>
    </font>
    <font>
      <sz val="11"/>
      <name val="Calibri Light"/>
      <family val="2"/>
    </font>
    <font>
      <sz val="11"/>
      <color theme="1"/>
      <name val="Calibri Light"/>
      <family val="2"/>
    </font>
    <font>
      <sz val="11"/>
      <color rgb="FFE0E0E0"/>
      <name val="Calibri"/>
      <family val="2"/>
      <scheme val="minor"/>
    </font>
    <font>
      <sz val="8"/>
      <color rgb="FF000066"/>
      <name val="Calibri Light"/>
      <family val="2"/>
      <scheme val="major"/>
    </font>
    <font>
      <i/>
      <sz val="8"/>
      <color rgb="FF000066"/>
      <name val="Calibri Light"/>
      <family val="2"/>
      <scheme val="major"/>
    </font>
    <font>
      <i/>
      <sz val="8"/>
      <color rgb="FF002060"/>
      <name val="Calibri Light"/>
      <family val="2"/>
      <scheme val="major"/>
    </font>
    <font>
      <sz val="8"/>
      <color theme="0"/>
      <name val="Calibri"/>
      <family val="2"/>
      <scheme val="minor"/>
    </font>
    <font>
      <i/>
      <sz val="8"/>
      <color theme="1"/>
      <name val="Calibri"/>
      <family val="2"/>
      <scheme val="minor"/>
    </font>
    <font>
      <sz val="11"/>
      <color theme="4" tint="0.59999389629810485"/>
      <name val="Calibri"/>
      <family val="2"/>
      <scheme val="minor"/>
    </font>
    <font>
      <sz val="11"/>
      <color rgb="FF000080"/>
      <name val="Calibri"/>
      <family val="2"/>
    </font>
    <font>
      <sz val="11"/>
      <color indexed="8"/>
      <name val="Calibri"/>
      <family val="2"/>
    </font>
    <font>
      <sz val="8"/>
      <name val="Calibri"/>
      <family val="2"/>
      <scheme val="minor"/>
    </font>
  </fonts>
  <fills count="24">
    <fill>
      <patternFill patternType="none"/>
    </fill>
    <fill>
      <patternFill patternType="gray125"/>
    </fill>
    <fill>
      <patternFill patternType="solid">
        <fgColor theme="0" tint="-4.9989318521683403E-2"/>
        <bgColor indexed="64"/>
      </patternFill>
    </fill>
    <fill>
      <patternFill patternType="solid">
        <fgColor rgb="FFE0E0E0"/>
        <bgColor indexed="64"/>
      </patternFill>
    </fill>
    <fill>
      <patternFill patternType="solid">
        <fgColor theme="4" tint="0.79998168889431442"/>
        <bgColor indexed="64"/>
      </patternFill>
    </fill>
    <fill>
      <patternFill patternType="solid">
        <fgColor rgb="FF660033"/>
        <bgColor indexed="64"/>
      </patternFill>
    </fill>
    <fill>
      <patternFill patternType="solid">
        <fgColor rgb="FFC8FFFF"/>
        <bgColor indexed="64"/>
      </patternFill>
    </fill>
    <fill>
      <patternFill patternType="solid">
        <fgColor rgb="FFF5F5F5"/>
        <bgColor indexed="64"/>
      </patternFill>
    </fill>
    <fill>
      <patternFill patternType="solid">
        <fgColor theme="0"/>
        <bgColor indexed="64"/>
      </patternFill>
    </fill>
    <fill>
      <patternFill patternType="solid">
        <fgColor rgb="FFFFFFD9"/>
        <bgColor indexed="64"/>
      </patternFill>
    </fill>
    <fill>
      <patternFill patternType="solid">
        <fgColor theme="0" tint="-0.14999847407452621"/>
        <bgColor indexed="64"/>
      </patternFill>
    </fill>
    <fill>
      <patternFill patternType="solid">
        <fgColor rgb="FFDCFFC8"/>
        <bgColor indexed="64"/>
      </patternFill>
    </fill>
    <fill>
      <patternFill patternType="solid">
        <fgColor rgb="FFF0FFF0"/>
        <bgColor indexed="64"/>
      </patternFill>
    </fill>
    <fill>
      <patternFill patternType="solid">
        <fgColor rgb="FFFAFAFA"/>
        <bgColor indexed="64"/>
      </patternFill>
    </fill>
    <fill>
      <gradientFill degree="90">
        <stop position="0">
          <color theme="0"/>
        </stop>
        <stop position="0.5">
          <color theme="0" tint="-5.0965910824915313E-2"/>
        </stop>
        <stop position="1">
          <color theme="0"/>
        </stop>
      </gradientFill>
    </fill>
    <fill>
      <patternFill patternType="solid">
        <fgColor theme="6" tint="0.79998168889431442"/>
        <bgColor indexed="64"/>
      </patternFill>
    </fill>
    <fill>
      <patternFill patternType="solid">
        <fgColor rgb="FFF2F2F2"/>
        <bgColor rgb="FFF2F2F2"/>
      </patternFill>
    </fill>
    <fill>
      <patternFill patternType="solid">
        <fgColor rgb="FFECECEC"/>
        <bgColor rgb="FFECECEC"/>
      </patternFill>
    </fill>
    <fill>
      <patternFill patternType="solid">
        <fgColor rgb="FF518034"/>
        <bgColor rgb="FF518034"/>
      </patternFill>
    </fill>
    <fill>
      <patternFill patternType="solid">
        <fgColor rgb="FFE2EFD9"/>
        <bgColor rgb="FFE2EFD9"/>
      </patternFill>
    </fill>
    <fill>
      <patternFill patternType="solid">
        <fgColor rgb="FFFFFFCC"/>
        <bgColor rgb="FFFFFFCC"/>
      </patternFill>
    </fill>
    <fill>
      <patternFill patternType="solid">
        <fgColor rgb="FFDEEAF6"/>
        <bgColor rgb="FFDEEAF6"/>
      </patternFill>
    </fill>
    <fill>
      <patternFill patternType="solid">
        <fgColor rgb="FFFFFF00"/>
        <bgColor rgb="FFFFFF00"/>
      </patternFill>
    </fill>
    <fill>
      <patternFill patternType="solid">
        <fgColor theme="0"/>
        <bgColor theme="0"/>
      </patternFill>
    </fill>
  </fills>
  <borders count="55">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style="thin">
        <color rgb="FF660033"/>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bottom/>
      <diagonal/>
    </border>
    <border>
      <left style="hair">
        <color indexed="64"/>
      </left>
      <right style="hair">
        <color indexed="64"/>
      </right>
      <top/>
      <bottom/>
      <diagonal/>
    </border>
    <border>
      <left/>
      <right/>
      <top style="hair">
        <color indexed="64"/>
      </top>
      <bottom/>
      <diagonal/>
    </border>
    <border>
      <left/>
      <right style="hair">
        <color indexed="64"/>
      </right>
      <top/>
      <bottom/>
      <diagonal/>
    </border>
    <border>
      <left style="thin">
        <color indexed="64"/>
      </left>
      <right style="thin">
        <color indexed="64"/>
      </right>
      <top style="thin">
        <color indexed="64"/>
      </top>
      <bottom style="thin">
        <color indexed="64"/>
      </bottom>
      <diagonal/>
    </border>
    <border>
      <left style="hair">
        <color indexed="64"/>
      </left>
      <right/>
      <top style="hair">
        <color indexed="64"/>
      </top>
      <bottom/>
      <diagonal/>
    </border>
    <border>
      <left/>
      <right/>
      <top/>
      <bottom style="hair">
        <color indexed="64"/>
      </bottom>
      <diagonal/>
    </border>
    <border>
      <left style="hair">
        <color indexed="64"/>
      </left>
      <right style="hair">
        <color indexed="64"/>
      </right>
      <top/>
      <bottom style="hair">
        <color indexed="64"/>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hair">
        <color theme="8" tint="-0.499984740745262"/>
      </right>
      <top style="hair">
        <color theme="8" tint="-0.499984740745262"/>
      </top>
      <bottom/>
      <diagonal/>
    </border>
    <border>
      <left style="hair">
        <color theme="8" tint="-0.499984740745262"/>
      </left>
      <right/>
      <top style="hair">
        <color theme="8" tint="-0.499984740745262"/>
      </top>
      <bottom/>
      <diagonal/>
    </border>
    <border>
      <left/>
      <right style="hair">
        <color theme="8" tint="-0.499984740745262"/>
      </right>
      <top style="hair">
        <color theme="8" tint="-0.499984740745262"/>
      </top>
      <bottom/>
      <diagonal/>
    </border>
    <border>
      <left style="hair">
        <color theme="8" tint="-0.499984740745262"/>
      </left>
      <right/>
      <top/>
      <bottom/>
      <diagonal/>
    </border>
    <border>
      <left/>
      <right style="hair">
        <color theme="8" tint="-0.499984740745262"/>
      </right>
      <top/>
      <bottom/>
      <diagonal/>
    </border>
    <border>
      <left style="hair">
        <color theme="8" tint="-0.499984740745262"/>
      </left>
      <right/>
      <top/>
      <bottom style="hair">
        <color theme="8" tint="-0.499984740745262"/>
      </bottom>
      <diagonal/>
    </border>
    <border>
      <left/>
      <right style="hair">
        <color theme="8" tint="-0.499984740745262"/>
      </right>
      <top/>
      <bottom style="hair">
        <color theme="8" tint="-0.499984740745262"/>
      </bottom>
      <diagonal/>
    </border>
    <border>
      <left style="hair">
        <color theme="8" tint="-0.499984740745262"/>
      </left>
      <right/>
      <top style="hair">
        <color theme="8" tint="-0.499984740745262"/>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right/>
      <top style="hair">
        <color theme="8" tint="-0.499984740745262"/>
      </top>
      <bottom style="hair">
        <color theme="8" tint="-0.499984740745262"/>
      </bottom>
      <diagonal/>
    </border>
    <border>
      <left/>
      <right style="hair">
        <color theme="8" tint="-0.499984740745262"/>
      </right>
      <top style="hair">
        <color theme="8" tint="-0.499984740745262"/>
      </top>
      <bottom style="hair">
        <color theme="8" tint="-0.499984740745262"/>
      </bottom>
      <diagonal/>
    </border>
    <border>
      <left style="hair">
        <color theme="8" tint="-0.499984740745262"/>
      </left>
      <right style="hair">
        <color theme="8" tint="-0.499984740745262"/>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hair">
        <color theme="8" tint="-0.499984740745262"/>
      </left>
      <right style="hair">
        <color indexed="64"/>
      </right>
      <top style="hair">
        <color theme="8" tint="-0.499984740745262"/>
      </top>
      <bottom style="hair">
        <color theme="8" tint="-0.499984740745262"/>
      </bottom>
      <diagonal/>
    </border>
    <border>
      <left/>
      <right style="hair">
        <color indexed="64"/>
      </right>
      <top style="hair">
        <color indexed="64"/>
      </top>
      <bottom/>
      <diagonal/>
    </border>
    <border>
      <left style="hair">
        <color theme="8" tint="-0.499984740745262"/>
      </left>
      <right style="hair">
        <color indexed="64"/>
      </right>
      <top style="hair">
        <color indexed="64"/>
      </top>
      <bottom style="hair">
        <color theme="8" tint="-0.499984740745262"/>
      </bottom>
      <diagonal/>
    </border>
    <border>
      <left style="hair">
        <color rgb="FF1F3864"/>
      </left>
      <right style="hair">
        <color rgb="FF1F3864"/>
      </right>
      <top style="hair">
        <color rgb="FF1F3864"/>
      </top>
      <bottom style="hair">
        <color rgb="FF1F3864"/>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style="hair">
        <color rgb="FF000000"/>
      </bottom>
      <diagonal/>
    </border>
    <border>
      <left style="hair">
        <color rgb="FF000000"/>
      </left>
      <right style="hair">
        <color rgb="FF000000"/>
      </right>
      <top style="hair">
        <color rgb="FF000000"/>
      </top>
      <bottom/>
      <diagonal/>
    </border>
    <border>
      <left style="thin">
        <color theme="2" tint="-0.499984740745262"/>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style="thin">
        <color theme="2" tint="-0.499984740745262"/>
      </bottom>
      <diagonal/>
    </border>
    <border>
      <left/>
      <right style="thin">
        <color theme="2" tint="-0.499984740745262"/>
      </right>
      <top/>
      <bottom style="thin">
        <color theme="2" tint="-0.499984740745262"/>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s>
  <cellStyleXfs count="3">
    <xf numFmtId="0" fontId="0" fillId="0" borderId="0"/>
    <xf numFmtId="0" fontId="33" fillId="0" borderId="12" applyNumberFormat="0" applyFill="0" applyBorder="0" applyProtection="0">
      <alignment horizontal="center" vertical="center"/>
      <protection locked="0"/>
    </xf>
    <xf numFmtId="0" fontId="72" fillId="0" borderId="0"/>
  </cellStyleXfs>
  <cellXfs count="480">
    <xf numFmtId="0" fontId="0" fillId="0" borderId="0" xfId="0"/>
    <xf numFmtId="0" fontId="1" fillId="0" borderId="0"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vertical="center"/>
    </xf>
    <xf numFmtId="0" fontId="3" fillId="0" borderId="5" xfId="0" applyFont="1" applyBorder="1" applyAlignment="1">
      <alignment vertical="center"/>
    </xf>
    <xf numFmtId="0" fontId="3" fillId="0" borderId="0" xfId="0" applyFont="1" applyBorder="1" applyAlignment="1">
      <alignment vertical="center"/>
    </xf>
    <xf numFmtId="0" fontId="3" fillId="0" borderId="11" xfId="0" applyFont="1" applyBorder="1" applyAlignment="1">
      <alignment vertical="center"/>
    </xf>
    <xf numFmtId="0" fontId="3" fillId="0" borderId="8" xfId="0" applyFont="1" applyBorder="1" applyAlignment="1">
      <alignment vertical="center"/>
    </xf>
    <xf numFmtId="0" fontId="2" fillId="0" borderId="0" xfId="0" applyFont="1" applyBorder="1" applyAlignment="1">
      <alignment vertical="center"/>
    </xf>
    <xf numFmtId="0" fontId="8" fillId="0" borderId="0" xfId="0" applyFont="1" applyBorder="1" applyAlignment="1">
      <alignment vertical="center"/>
    </xf>
    <xf numFmtId="0" fontId="0" fillId="0" borderId="0" xfId="0" applyBorder="1"/>
    <xf numFmtId="0" fontId="0" fillId="0" borderId="10" xfId="0" applyBorder="1"/>
    <xf numFmtId="0" fontId="1" fillId="0" borderId="0" xfId="0" applyFont="1" applyBorder="1" applyAlignment="1">
      <alignment horizontal="left" vertical="center"/>
    </xf>
    <xf numFmtId="0" fontId="1" fillId="0" borderId="4" xfId="0" applyFont="1" applyBorder="1" applyAlignment="1">
      <alignment vertical="center"/>
    </xf>
    <xf numFmtId="0" fontId="1" fillId="0" borderId="7" xfId="0" applyFont="1" applyBorder="1" applyAlignment="1">
      <alignment vertical="center"/>
    </xf>
    <xf numFmtId="0" fontId="6" fillId="0" borderId="0" xfId="0" applyFont="1" applyBorder="1" applyAlignment="1">
      <alignment vertical="center"/>
    </xf>
    <xf numFmtId="0" fontId="0" fillId="0" borderId="0" xfId="0" applyBorder="1" applyAlignment="1">
      <alignment vertical="center"/>
    </xf>
    <xf numFmtId="0" fontId="7" fillId="0" borderId="0" xfId="0" applyFont="1" applyBorder="1" applyAlignment="1">
      <alignment horizontal="center" vertical="center"/>
    </xf>
    <xf numFmtId="0" fontId="0" fillId="3" borderId="4" xfId="0" applyFill="1" applyBorder="1"/>
    <xf numFmtId="0" fontId="0" fillId="3" borderId="6" xfId="0" applyFill="1" applyBorder="1"/>
    <xf numFmtId="0" fontId="1" fillId="3" borderId="11" xfId="0" applyFont="1" applyFill="1" applyBorder="1" applyAlignment="1">
      <alignment vertical="center"/>
    </xf>
    <xf numFmtId="0" fontId="1" fillId="3" borderId="11" xfId="0" applyFont="1" applyFill="1" applyBorder="1" applyAlignment="1">
      <alignment horizontal="left" vertical="center"/>
    </xf>
    <xf numFmtId="0" fontId="0" fillId="3" borderId="9" xfId="0" applyFill="1" applyBorder="1"/>
    <xf numFmtId="0" fontId="0" fillId="3" borderId="10" xfId="0" applyFill="1" applyBorder="1"/>
    <xf numFmtId="0" fontId="0" fillId="3" borderId="7" xfId="0" applyFill="1" applyBorder="1"/>
    <xf numFmtId="0" fontId="0" fillId="3" borderId="8" xfId="0" applyFill="1" applyBorder="1"/>
    <xf numFmtId="0" fontId="9" fillId="0" borderId="0" xfId="0" applyFont="1" applyBorder="1" applyAlignment="1">
      <alignment vertical="center"/>
    </xf>
    <xf numFmtId="0" fontId="3" fillId="0" borderId="6" xfId="0" applyFont="1" applyBorder="1" applyAlignment="1">
      <alignment vertical="center"/>
    </xf>
    <xf numFmtId="0" fontId="5" fillId="0" borderId="0" xfId="0" applyFont="1" applyBorder="1" applyAlignment="1">
      <alignment vertical="center"/>
    </xf>
    <xf numFmtId="0" fontId="4" fillId="0" borderId="0" xfId="0" applyFont="1" applyBorder="1" applyAlignment="1">
      <alignment vertical="center"/>
    </xf>
    <xf numFmtId="0" fontId="10" fillId="0" borderId="0" xfId="0" applyFont="1" applyBorder="1" applyAlignment="1">
      <alignment vertical="center"/>
    </xf>
    <xf numFmtId="0" fontId="5" fillId="0" borderId="0" xfId="0" applyFont="1" applyBorder="1" applyAlignment="1">
      <alignment vertical="center" wrapText="1"/>
    </xf>
    <xf numFmtId="0" fontId="5" fillId="0" borderId="0" xfId="0" applyFont="1" applyBorder="1" applyAlignment="1">
      <alignment horizontal="left" vertical="center" wrapText="1"/>
    </xf>
    <xf numFmtId="0" fontId="0" fillId="0" borderId="0" xfId="0" applyAlignment="1">
      <alignment vertical="center"/>
    </xf>
    <xf numFmtId="0" fontId="16" fillId="3" borderId="5" xfId="0" applyFont="1" applyFill="1" applyBorder="1" applyAlignment="1">
      <alignment horizontal="center" vertical="center"/>
    </xf>
    <xf numFmtId="0" fontId="19" fillId="0" borderId="0" xfId="0" applyFont="1" applyBorder="1" applyAlignment="1">
      <alignment vertical="top" wrapText="1"/>
    </xf>
    <xf numFmtId="0" fontId="13" fillId="0" borderId="0" xfId="0" applyFont="1" applyBorder="1" applyAlignment="1">
      <alignment vertical="center"/>
    </xf>
    <xf numFmtId="0" fontId="15" fillId="0" borderId="0" xfId="0" applyFont="1" applyBorder="1" applyAlignment="1">
      <alignment vertical="center"/>
    </xf>
    <xf numFmtId="0" fontId="14" fillId="0" borderId="0" xfId="0" applyFont="1" applyBorder="1" applyAlignment="1">
      <alignment vertical="center"/>
    </xf>
    <xf numFmtId="0" fontId="0" fillId="0" borderId="11" xfId="0" applyBorder="1" applyAlignment="1">
      <alignment vertical="center"/>
    </xf>
    <xf numFmtId="0" fontId="19" fillId="0" borderId="0" xfId="0" applyFont="1" applyBorder="1" applyAlignment="1">
      <alignment vertical="center"/>
    </xf>
    <xf numFmtId="0" fontId="1" fillId="0" borderId="0" xfId="0" applyFont="1" applyBorder="1" applyAlignment="1">
      <alignment vertical="top"/>
    </xf>
    <xf numFmtId="0" fontId="1" fillId="0" borderId="0" xfId="0" applyFont="1" applyBorder="1" applyAlignment="1">
      <alignment horizontal="center" vertical="top" wrapText="1"/>
    </xf>
    <xf numFmtId="0" fontId="19" fillId="0" borderId="0" xfId="0" applyFont="1" applyBorder="1" applyAlignment="1">
      <alignment horizontal="center" vertical="center"/>
    </xf>
    <xf numFmtId="0" fontId="6" fillId="0" borderId="5" xfId="0" applyFont="1" applyBorder="1" applyAlignment="1">
      <alignment vertical="center"/>
    </xf>
    <xf numFmtId="0" fontId="3" fillId="0" borderId="9" xfId="0" applyFont="1" applyBorder="1" applyAlignment="1">
      <alignment vertical="center"/>
    </xf>
    <xf numFmtId="0" fontId="6" fillId="0" borderId="8" xfId="0" applyFont="1" applyBorder="1" applyAlignment="1">
      <alignment vertical="center"/>
    </xf>
    <xf numFmtId="0" fontId="0" fillId="0" borderId="0" xfId="0" applyFont="1" applyBorder="1" applyAlignment="1">
      <alignment vertical="center"/>
    </xf>
    <xf numFmtId="0" fontId="18" fillId="0" borderId="0" xfId="0" applyFont="1" applyBorder="1" applyAlignment="1">
      <alignment horizontal="left" vertical="top" wrapText="1"/>
    </xf>
    <xf numFmtId="0" fontId="9" fillId="0" borderId="10" xfId="0" applyFont="1" applyBorder="1" applyAlignment="1">
      <alignment vertical="center"/>
    </xf>
    <xf numFmtId="0" fontId="0" fillId="0" borderId="6" xfId="0" applyBorder="1"/>
    <xf numFmtId="0" fontId="9" fillId="0" borderId="7" xfId="0" applyFont="1" applyBorder="1" applyAlignment="1">
      <alignment vertical="center"/>
    </xf>
    <xf numFmtId="0" fontId="0" fillId="0" borderId="9" xfId="0" applyBorder="1" applyAlignment="1">
      <alignment vertical="center"/>
    </xf>
    <xf numFmtId="0" fontId="19" fillId="0" borderId="5" xfId="0" applyFont="1" applyBorder="1" applyAlignment="1">
      <alignment horizontal="left" vertical="top" wrapText="1"/>
    </xf>
    <xf numFmtId="0" fontId="18" fillId="0" borderId="8" xfId="0" applyFont="1" applyBorder="1" applyAlignment="1">
      <alignment vertical="center"/>
    </xf>
    <xf numFmtId="0" fontId="18" fillId="0" borderId="8" xfId="0" applyFont="1" applyBorder="1" applyAlignment="1">
      <alignment horizontal="left" vertical="top" wrapText="1"/>
    </xf>
    <xf numFmtId="0" fontId="18" fillId="0" borderId="5" xfId="0" applyFont="1" applyBorder="1" applyAlignment="1">
      <alignment horizontal="left" vertical="top" wrapText="1"/>
    </xf>
    <xf numFmtId="0" fontId="18" fillId="0" borderId="5" xfId="0" applyFont="1" applyBorder="1" applyAlignment="1">
      <alignment vertical="center"/>
    </xf>
    <xf numFmtId="0" fontId="20" fillId="0" borderId="0" xfId="0" applyFont="1" applyBorder="1" applyAlignment="1">
      <alignment vertical="center"/>
    </xf>
    <xf numFmtId="0" fontId="17" fillId="0" borderId="0" xfId="0" applyFont="1" applyBorder="1" applyAlignment="1">
      <alignment vertical="center"/>
    </xf>
    <xf numFmtId="0" fontId="11" fillId="0" borderId="10" xfId="0" applyFont="1" applyBorder="1" applyAlignment="1">
      <alignment vertical="center"/>
    </xf>
    <xf numFmtId="0" fontId="0" fillId="0" borderId="10" xfId="0" applyFont="1" applyBorder="1" applyAlignment="1">
      <alignment vertical="center"/>
    </xf>
    <xf numFmtId="0" fontId="0" fillId="0" borderId="10" xfId="0" applyFont="1" applyBorder="1"/>
    <xf numFmtId="0" fontId="0" fillId="0" borderId="0" xfId="0" applyFont="1" applyBorder="1"/>
    <xf numFmtId="0" fontId="17" fillId="0" borderId="0" xfId="0" applyFont="1" applyBorder="1" applyAlignment="1">
      <alignment vertical="top"/>
    </xf>
    <xf numFmtId="0" fontId="21" fillId="0" borderId="0" xfId="0" applyFont="1" applyBorder="1" applyAlignment="1">
      <alignment vertical="center"/>
    </xf>
    <xf numFmtId="0" fontId="21" fillId="0" borderId="0" xfId="0" applyFont="1" applyBorder="1" applyAlignment="1">
      <alignment horizontal="left" vertical="top" wrapText="1"/>
    </xf>
    <xf numFmtId="0" fontId="19" fillId="0" borderId="0" xfId="0" applyFont="1" applyBorder="1" applyAlignment="1">
      <alignment horizontal="left" vertical="top" wrapText="1"/>
    </xf>
    <xf numFmtId="0" fontId="19" fillId="0" borderId="8" xfId="0" applyFont="1" applyBorder="1" applyAlignment="1">
      <alignment horizontal="left" vertical="top" wrapText="1"/>
    </xf>
    <xf numFmtId="0" fontId="12" fillId="0" borderId="5" xfId="0" applyFont="1" applyBorder="1" applyAlignment="1">
      <alignment vertical="center"/>
    </xf>
    <xf numFmtId="0" fontId="19" fillId="0" borderId="8" xfId="0" applyFont="1" applyBorder="1" applyAlignment="1">
      <alignment vertical="top" wrapText="1"/>
    </xf>
    <xf numFmtId="0" fontId="0" fillId="0" borderId="4" xfId="0" applyBorder="1"/>
    <xf numFmtId="0" fontId="9" fillId="0" borderId="5" xfId="0" applyFont="1" applyBorder="1" applyAlignment="1">
      <alignment vertical="center"/>
    </xf>
    <xf numFmtId="0" fontId="2" fillId="0" borderId="0" xfId="0" applyFont="1" applyBorder="1" applyAlignment="1">
      <alignment vertical="top"/>
    </xf>
    <xf numFmtId="0" fontId="19" fillId="0" borderId="0" xfId="0" applyFont="1" applyBorder="1" applyAlignment="1">
      <alignment horizontal="left" vertical="top" wrapText="1"/>
    </xf>
    <xf numFmtId="0" fontId="3" fillId="0" borderId="5" xfId="0" applyFont="1" applyBorder="1" applyAlignment="1">
      <alignment horizontal="left" vertical="center"/>
    </xf>
    <xf numFmtId="0" fontId="23" fillId="0" borderId="0" xfId="0" applyNumberFormat="1" applyFont="1" applyBorder="1" applyAlignment="1">
      <alignment vertical="center" textRotation="90"/>
    </xf>
    <xf numFmtId="0" fontId="24" fillId="0" borderId="0" xfId="0" applyFont="1" applyBorder="1" applyAlignment="1">
      <alignment vertical="center"/>
    </xf>
    <xf numFmtId="0" fontId="2" fillId="0" borderId="0" xfId="0" applyFont="1" applyBorder="1" applyAlignment="1">
      <alignment horizontal="left" vertical="center"/>
    </xf>
    <xf numFmtId="0" fontId="19" fillId="0" borderId="0" xfId="0" applyFont="1" applyBorder="1" applyAlignment="1">
      <alignment horizontal="left" vertical="top" wrapText="1"/>
    </xf>
    <xf numFmtId="0" fontId="23" fillId="0" borderId="0" xfId="0" applyFont="1" applyBorder="1" applyAlignment="1">
      <alignment horizontal="center" vertical="center"/>
    </xf>
    <xf numFmtId="0" fontId="15" fillId="0" borderId="0" xfId="0" applyFont="1" applyBorder="1" applyAlignment="1">
      <alignment vertical="top"/>
    </xf>
    <xf numFmtId="0" fontId="0" fillId="3" borderId="10" xfId="0" applyFont="1" applyFill="1" applyBorder="1"/>
    <xf numFmtId="0" fontId="0" fillId="0" borderId="0" xfId="0" applyFont="1"/>
    <xf numFmtId="0" fontId="10" fillId="3" borderId="10" xfId="0" applyFont="1" applyFill="1" applyBorder="1"/>
    <xf numFmtId="0" fontId="10" fillId="3" borderId="11" xfId="0" applyFont="1" applyFill="1" applyBorder="1" applyAlignment="1">
      <alignment vertical="center"/>
    </xf>
    <xf numFmtId="0" fontId="10" fillId="0" borderId="0" xfId="0" applyFont="1"/>
    <xf numFmtId="0" fontId="10" fillId="3" borderId="10" xfId="0" applyFont="1" applyFill="1" applyBorder="1" applyAlignment="1">
      <alignment vertical="center"/>
    </xf>
    <xf numFmtId="0" fontId="10" fillId="0" borderId="0" xfId="0" applyFont="1" applyAlignment="1">
      <alignment vertical="center"/>
    </xf>
    <xf numFmtId="0" fontId="0" fillId="3" borderId="10" xfId="0" applyFont="1" applyFill="1" applyBorder="1" applyAlignment="1">
      <alignment horizontal="left" vertical="top"/>
    </xf>
    <xf numFmtId="0" fontId="0" fillId="0" borderId="0" xfId="0" applyFont="1" applyAlignment="1">
      <alignment horizontal="left" vertical="top"/>
    </xf>
    <xf numFmtId="0" fontId="0" fillId="3" borderId="11" xfId="0" applyFont="1" applyFill="1" applyBorder="1" applyAlignment="1">
      <alignment horizontal="left" vertical="top"/>
    </xf>
    <xf numFmtId="0" fontId="0" fillId="3" borderId="11" xfId="0" applyFont="1" applyFill="1" applyBorder="1" applyAlignment="1">
      <alignment vertical="center"/>
    </xf>
    <xf numFmtId="0" fontId="1" fillId="3" borderId="10" xfId="0" applyFont="1" applyFill="1" applyBorder="1" applyAlignment="1">
      <alignment vertical="center"/>
    </xf>
    <xf numFmtId="0" fontId="1" fillId="0" borderId="0" xfId="0" applyFont="1" applyAlignment="1">
      <alignment vertical="center"/>
    </xf>
    <xf numFmtId="0" fontId="0" fillId="3" borderId="4" xfId="0" applyFont="1" applyFill="1" applyBorder="1"/>
    <xf numFmtId="0" fontId="23" fillId="3" borderId="5" xfId="0" applyFont="1" applyFill="1" applyBorder="1" applyAlignment="1">
      <alignment horizontal="center" vertical="center"/>
    </xf>
    <xf numFmtId="0" fontId="0" fillId="3" borderId="6" xfId="0" applyFont="1" applyFill="1" applyBorder="1"/>
    <xf numFmtId="0" fontId="26" fillId="0" borderId="0" xfId="0" applyFont="1" applyBorder="1" applyAlignment="1">
      <alignment horizontal="left" vertical="center"/>
    </xf>
    <xf numFmtId="0" fontId="27" fillId="0" borderId="0" xfId="0" applyFont="1" applyBorder="1" applyAlignment="1">
      <alignment horizontal="left" vertical="center"/>
    </xf>
    <xf numFmtId="0" fontId="10" fillId="0" borderId="0" xfId="0" applyFont="1" applyBorder="1" applyAlignment="1">
      <alignment horizontal="center" vertical="center"/>
    </xf>
    <xf numFmtId="0" fontId="28" fillId="0" borderId="0" xfId="0" applyFont="1" applyBorder="1" applyAlignment="1">
      <alignment vertical="center"/>
    </xf>
    <xf numFmtId="0" fontId="28" fillId="5" borderId="0" xfId="0" applyFont="1" applyFill="1" applyBorder="1" applyAlignment="1">
      <alignment vertical="center"/>
    </xf>
    <xf numFmtId="0" fontId="10" fillId="5" borderId="0" xfId="0" applyFont="1" applyFill="1" applyBorder="1" applyAlignment="1">
      <alignment horizontal="center" vertical="center"/>
    </xf>
    <xf numFmtId="0" fontId="10" fillId="5" borderId="0" xfId="0" applyFont="1" applyFill="1" applyBorder="1" applyAlignment="1">
      <alignment vertical="center"/>
    </xf>
    <xf numFmtId="0" fontId="15" fillId="0" borderId="0" xfId="0" applyFont="1" applyBorder="1" applyAlignment="1">
      <alignment horizontal="left" vertical="center"/>
    </xf>
    <xf numFmtId="0" fontId="10" fillId="0" borderId="0" xfId="0" applyFont="1" applyBorder="1" applyAlignment="1">
      <alignment vertical="center" wrapText="1"/>
    </xf>
    <xf numFmtId="0" fontId="10" fillId="0" borderId="0" xfId="0" applyFont="1" applyBorder="1"/>
    <xf numFmtId="0" fontId="0" fillId="0" borderId="0" xfId="0" applyFont="1" applyBorder="1" applyAlignment="1">
      <alignment horizontal="center" vertical="center"/>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11" fillId="0" borderId="0" xfId="0" applyFont="1" applyBorder="1" applyAlignment="1">
      <alignment horizontal="left" vertical="top"/>
    </xf>
    <xf numFmtId="0" fontId="0" fillId="0" borderId="0" xfId="0" applyFont="1" applyBorder="1" applyAlignment="1">
      <alignment horizontal="center" vertical="top" wrapText="1"/>
    </xf>
    <xf numFmtId="0" fontId="0" fillId="0" borderId="0" xfId="0" applyFont="1" applyBorder="1" applyAlignment="1">
      <alignment horizontal="left" vertical="top" wrapText="1"/>
    </xf>
    <xf numFmtId="0" fontId="30" fillId="0" borderId="0" xfId="0" applyFont="1" applyBorder="1" applyAlignment="1">
      <alignment vertical="center"/>
    </xf>
    <xf numFmtId="0" fontId="11" fillId="0" borderId="0" xfId="0" applyFont="1" applyBorder="1" applyAlignment="1">
      <alignment vertical="center"/>
    </xf>
    <xf numFmtId="0" fontId="0" fillId="0" borderId="0" xfId="0" applyFont="1" applyBorder="1" applyAlignment="1">
      <alignment horizontal="center"/>
    </xf>
    <xf numFmtId="0" fontId="0" fillId="3" borderId="7" xfId="0" applyFont="1" applyFill="1" applyBorder="1"/>
    <xf numFmtId="0" fontId="0" fillId="3" borderId="8" xfId="0" applyFont="1" applyFill="1" applyBorder="1"/>
    <xf numFmtId="0" fontId="0" fillId="3" borderId="9" xfId="0" applyFont="1" applyFill="1" applyBorder="1"/>
    <xf numFmtId="0" fontId="29" fillId="0" borderId="0" xfId="0" applyFont="1" applyBorder="1" applyAlignment="1">
      <alignment vertical="center"/>
    </xf>
    <xf numFmtId="0" fontId="14" fillId="0" borderId="0" xfId="0" applyFont="1" applyBorder="1" applyAlignment="1">
      <alignment vertical="top" wrapText="1"/>
    </xf>
    <xf numFmtId="0" fontId="0" fillId="0" borderId="0" xfId="0" applyFont="1" applyBorder="1" applyAlignment="1">
      <alignment vertical="top" wrapText="1"/>
    </xf>
    <xf numFmtId="0" fontId="27" fillId="0" borderId="14" xfId="0" applyFont="1" applyBorder="1" applyAlignment="1">
      <alignment horizontal="left" vertical="center"/>
    </xf>
    <xf numFmtId="0" fontId="10" fillId="0" borderId="14" xfId="0" applyFont="1" applyBorder="1" applyAlignment="1">
      <alignment horizontal="center" vertical="center"/>
    </xf>
    <xf numFmtId="0" fontId="10" fillId="0" borderId="14" xfId="0" applyFont="1" applyBorder="1" applyAlignment="1">
      <alignment vertical="center"/>
    </xf>
    <xf numFmtId="0" fontId="32" fillId="0" borderId="7" xfId="0" applyFont="1" applyBorder="1" applyAlignment="1"/>
    <xf numFmtId="0" fontId="32" fillId="0" borderId="9" xfId="0" applyFont="1" applyBorder="1" applyAlignment="1">
      <alignment horizontal="right"/>
    </xf>
    <xf numFmtId="0" fontId="31" fillId="0" borderId="0" xfId="0" applyFont="1" applyBorder="1" applyAlignment="1">
      <alignment horizontal="left"/>
    </xf>
    <xf numFmtId="0" fontId="31" fillId="0" borderId="0" xfId="0" applyFont="1" applyBorder="1" applyAlignment="1">
      <alignment horizontal="right"/>
    </xf>
    <xf numFmtId="0" fontId="0" fillId="4" borderId="4" xfId="0" applyFill="1" applyBorder="1"/>
    <xf numFmtId="0" fontId="0" fillId="4" borderId="10" xfId="0" applyFill="1" applyBorder="1"/>
    <xf numFmtId="0" fontId="0" fillId="4" borderId="5" xfId="0" applyFill="1" applyBorder="1"/>
    <xf numFmtId="0" fontId="22" fillId="0" borderId="0" xfId="0" applyFont="1" applyBorder="1" applyAlignment="1">
      <alignment vertical="center"/>
    </xf>
    <xf numFmtId="0" fontId="5" fillId="0" borderId="5" xfId="0" applyFont="1" applyBorder="1" applyAlignment="1">
      <alignment vertical="center"/>
    </xf>
    <xf numFmtId="0" fontId="1" fillId="2" borderId="21" xfId="0" applyFont="1" applyFill="1" applyBorder="1" applyAlignment="1">
      <alignment vertical="center"/>
    </xf>
    <xf numFmtId="0" fontId="0" fillId="4" borderId="10" xfId="0" applyFill="1" applyBorder="1" applyAlignment="1">
      <alignment vertical="center"/>
    </xf>
    <xf numFmtId="0" fontId="7" fillId="0" borderId="0" xfId="0" applyFont="1" applyBorder="1" applyAlignment="1">
      <alignment vertical="center"/>
    </xf>
    <xf numFmtId="0" fontId="5" fillId="0" borderId="0" xfId="0" applyFont="1" applyBorder="1" applyAlignment="1">
      <alignment horizontal="center" vertical="center" wrapText="1"/>
    </xf>
    <xf numFmtId="0" fontId="7" fillId="0" borderId="0" xfId="0" applyFont="1" applyBorder="1" applyAlignment="1">
      <alignment horizontal="left" vertical="center"/>
    </xf>
    <xf numFmtId="0" fontId="39" fillId="12" borderId="0" xfId="0" applyFont="1" applyFill="1"/>
    <xf numFmtId="0" fontId="1" fillId="4" borderId="0" xfId="0" applyFont="1" applyFill="1" applyBorder="1" applyAlignment="1">
      <alignment vertical="center"/>
    </xf>
    <xf numFmtId="0" fontId="1" fillId="4" borderId="0" xfId="0" applyFont="1" applyFill="1" applyBorder="1" applyAlignment="1">
      <alignment horizontal="left" vertical="center"/>
    </xf>
    <xf numFmtId="0" fontId="0" fillId="12" borderId="18" xfId="0" applyFill="1" applyBorder="1"/>
    <xf numFmtId="0" fontId="0" fillId="12" borderId="0" xfId="0" applyFont="1" applyFill="1" applyAlignment="1">
      <alignment vertical="center"/>
    </xf>
    <xf numFmtId="0" fontId="0" fillId="4" borderId="0" xfId="0" applyFill="1" applyBorder="1"/>
    <xf numFmtId="0" fontId="0" fillId="12" borderId="22" xfId="0" applyFill="1" applyBorder="1"/>
    <xf numFmtId="0" fontId="0" fillId="12" borderId="19" xfId="0" applyFill="1" applyBorder="1"/>
    <xf numFmtId="0" fontId="0" fillId="12" borderId="17" xfId="0" applyFill="1" applyBorder="1"/>
    <xf numFmtId="0" fontId="0" fillId="12" borderId="0" xfId="0" applyFill="1" applyBorder="1"/>
    <xf numFmtId="0" fontId="0" fillId="12" borderId="20" xfId="0" applyFill="1" applyBorder="1"/>
    <xf numFmtId="0" fontId="0" fillId="12" borderId="15" xfId="0" applyFill="1" applyBorder="1"/>
    <xf numFmtId="0" fontId="0" fillId="12" borderId="23" xfId="0" applyFill="1" applyBorder="1"/>
    <xf numFmtId="0" fontId="0" fillId="12" borderId="16" xfId="0" applyFill="1" applyBorder="1"/>
    <xf numFmtId="0" fontId="0" fillId="13" borderId="17" xfId="0" applyFill="1" applyBorder="1"/>
    <xf numFmtId="0" fontId="0" fillId="13" borderId="0" xfId="0" applyFill="1" applyBorder="1"/>
    <xf numFmtId="0" fontId="0" fillId="13" borderId="20" xfId="0" applyFill="1" applyBorder="1"/>
    <xf numFmtId="0" fontId="0" fillId="13" borderId="15" xfId="0" applyFill="1" applyBorder="1"/>
    <xf numFmtId="0" fontId="0" fillId="13" borderId="23" xfId="0" applyFill="1" applyBorder="1"/>
    <xf numFmtId="0" fontId="0" fillId="13" borderId="16" xfId="0" applyFill="1" applyBorder="1"/>
    <xf numFmtId="0" fontId="40" fillId="12" borderId="0" xfId="0" applyFont="1" applyFill="1" applyAlignment="1">
      <alignment horizontal="right" vertical="center"/>
    </xf>
    <xf numFmtId="0" fontId="0" fillId="0" borderId="0" xfId="0" applyFont="1" applyBorder="1" applyAlignment="1">
      <alignment horizontal="left" vertical="center"/>
    </xf>
    <xf numFmtId="0" fontId="40" fillId="13" borderId="17" xfId="0" applyFont="1" applyFill="1" applyBorder="1" applyAlignment="1">
      <alignment vertical="center"/>
    </xf>
    <xf numFmtId="0" fontId="40" fillId="13" borderId="0" xfId="0" applyFont="1" applyFill="1" applyBorder="1" applyAlignment="1">
      <alignment vertical="center"/>
    </xf>
    <xf numFmtId="0" fontId="40" fillId="13" borderId="20" xfId="0" applyFont="1" applyFill="1" applyBorder="1" applyAlignment="1">
      <alignment vertical="center"/>
    </xf>
    <xf numFmtId="0" fontId="40" fillId="13" borderId="17" xfId="0" applyFont="1" applyFill="1" applyBorder="1" applyAlignment="1">
      <alignment vertical="top" wrapText="1"/>
    </xf>
    <xf numFmtId="0" fontId="40" fillId="13" borderId="0" xfId="0" applyFont="1" applyFill="1" applyBorder="1" applyAlignment="1">
      <alignment vertical="top" wrapText="1"/>
    </xf>
    <xf numFmtId="0" fontId="41" fillId="4" borderId="20" xfId="0" applyFont="1" applyFill="1" applyBorder="1" applyAlignment="1">
      <alignment horizontal="left" vertical="top"/>
    </xf>
    <xf numFmtId="0" fontId="41" fillId="4" borderId="24" xfId="0" applyFont="1" applyFill="1" applyBorder="1" applyAlignment="1">
      <alignment horizontal="left" vertical="top"/>
    </xf>
    <xf numFmtId="0" fontId="0" fillId="0" borderId="0" xfId="0" applyAlignment="1">
      <alignment horizontal="left" vertical="top"/>
    </xf>
    <xf numFmtId="0" fontId="0" fillId="0" borderId="21" xfId="0" applyFont="1" applyBorder="1" applyAlignment="1">
      <alignment horizontal="left" vertical="center"/>
    </xf>
    <xf numFmtId="0" fontId="0" fillId="0" borderId="21" xfId="0" applyFont="1" applyBorder="1" applyAlignment="1">
      <alignment vertical="center"/>
    </xf>
    <xf numFmtId="0" fontId="0" fillId="0" borderId="21" xfId="0" applyFont="1" applyBorder="1" applyAlignment="1">
      <alignment horizontal="center" vertical="center"/>
    </xf>
    <xf numFmtId="0" fontId="0" fillId="0" borderId="13" xfId="0" applyFont="1" applyBorder="1" applyAlignment="1">
      <alignment horizontal="left" vertical="center"/>
    </xf>
    <xf numFmtId="0" fontId="0" fillId="0" borderId="13" xfId="0" applyFont="1" applyBorder="1" applyAlignment="1">
      <alignment vertical="center"/>
    </xf>
    <xf numFmtId="0" fontId="0" fillId="0" borderId="13" xfId="0" applyFont="1" applyBorder="1" applyAlignment="1">
      <alignment horizontal="center" vertical="center"/>
    </xf>
    <xf numFmtId="0" fontId="34" fillId="0" borderId="0" xfId="0" applyFont="1" applyFill="1" applyBorder="1" applyAlignment="1" applyProtection="1">
      <alignment horizontal="left" vertical="center"/>
    </xf>
    <xf numFmtId="0" fontId="34" fillId="0" borderId="34" xfId="0" applyFont="1" applyFill="1" applyBorder="1" applyAlignment="1" applyProtection="1">
      <alignment horizontal="left" vertical="center"/>
    </xf>
    <xf numFmtId="0" fontId="45" fillId="4" borderId="38" xfId="0" applyFont="1" applyFill="1" applyBorder="1" applyAlignment="1">
      <alignment horizontal="center" vertical="center"/>
    </xf>
    <xf numFmtId="0" fontId="45" fillId="8" borderId="39" xfId="0" applyFont="1" applyFill="1" applyBorder="1" applyAlignment="1">
      <alignment horizontal="center" vertical="center"/>
    </xf>
    <xf numFmtId="0" fontId="44" fillId="0" borderId="0" xfId="0" applyFont="1" applyBorder="1"/>
    <xf numFmtId="0" fontId="44" fillId="0" borderId="0" xfId="0" applyFont="1" applyBorder="1" applyAlignment="1">
      <alignment vertical="center"/>
    </xf>
    <xf numFmtId="0" fontId="49" fillId="4" borderId="0" xfId="0" applyFont="1" applyFill="1" applyBorder="1" applyAlignment="1">
      <alignment vertical="center"/>
    </xf>
    <xf numFmtId="0" fontId="40" fillId="13" borderId="20" xfId="0" applyFont="1" applyFill="1" applyBorder="1" applyAlignment="1">
      <alignment vertical="top" wrapText="1"/>
    </xf>
    <xf numFmtId="0" fontId="46" fillId="0" borderId="0" xfId="0" applyFont="1" applyBorder="1" applyAlignment="1">
      <alignment horizontal="center" vertical="center"/>
    </xf>
    <xf numFmtId="0" fontId="47" fillId="0" borderId="0" xfId="0" applyFont="1" applyBorder="1" applyAlignment="1">
      <alignment horizontal="center" vertical="center"/>
    </xf>
    <xf numFmtId="0" fontId="47" fillId="0" borderId="0" xfId="0" applyFont="1" applyBorder="1" applyAlignment="1">
      <alignment vertical="center"/>
    </xf>
    <xf numFmtId="1" fontId="50" fillId="14" borderId="23" xfId="1" applyNumberFormat="1" applyFont="1" applyFill="1" applyBorder="1" applyProtection="1">
      <alignment horizontal="center" vertical="center"/>
    </xf>
    <xf numFmtId="0" fontId="2" fillId="0" borderId="0" xfId="0" applyFont="1" applyBorder="1" applyAlignment="1">
      <alignment horizontal="right"/>
    </xf>
    <xf numFmtId="0" fontId="0" fillId="0" borderId="0" xfId="0" applyFont="1" applyAlignment="1"/>
    <xf numFmtId="0" fontId="57" fillId="17" borderId="43" xfId="0" applyFont="1" applyFill="1" applyBorder="1" applyAlignment="1">
      <alignment horizontal="left" vertical="center"/>
    </xf>
    <xf numFmtId="0" fontId="58" fillId="18" borderId="21" xfId="0" applyFont="1" applyFill="1" applyBorder="1" applyAlignment="1">
      <alignment horizontal="left" vertical="top" wrapText="1"/>
    </xf>
    <xf numFmtId="0" fontId="57" fillId="19" borderId="21" xfId="0" applyFont="1" applyFill="1" applyBorder="1" applyAlignment="1">
      <alignment horizontal="left" vertical="top" wrapText="1"/>
    </xf>
    <xf numFmtId="0" fontId="59" fillId="19" borderId="21" xfId="0" applyFont="1" applyFill="1" applyBorder="1" applyAlignment="1">
      <alignment horizontal="left" vertical="top" wrapText="1"/>
    </xf>
    <xf numFmtId="0" fontId="56" fillId="20" borderId="21" xfId="0" applyFont="1" applyFill="1" applyBorder="1" applyAlignment="1">
      <alignment horizontal="left" vertical="top" wrapText="1"/>
    </xf>
    <xf numFmtId="0" fontId="57" fillId="20" borderId="21" xfId="0" applyFont="1" applyFill="1" applyBorder="1" applyAlignment="1">
      <alignment horizontal="left" vertical="top" wrapText="1"/>
    </xf>
    <xf numFmtId="0" fontId="46" fillId="21" borderId="21" xfId="0" applyFont="1" applyFill="1" applyBorder="1" applyAlignment="1">
      <alignment horizontal="left" vertical="top" wrapText="1"/>
    </xf>
    <xf numFmtId="0" fontId="57" fillId="21" borderId="21" xfId="0" applyFont="1" applyFill="1" applyBorder="1" applyAlignment="1">
      <alignment horizontal="left" vertical="top" wrapText="1"/>
    </xf>
    <xf numFmtId="0" fontId="60" fillId="21" borderId="21" xfId="0" applyFont="1" applyFill="1" applyBorder="1" applyAlignment="1">
      <alignment horizontal="left" vertical="top" wrapText="1"/>
    </xf>
    <xf numFmtId="0" fontId="55" fillId="21" borderId="21" xfId="0" applyFont="1" applyFill="1" applyBorder="1" applyAlignment="1">
      <alignment horizontal="left" vertical="top" wrapText="1"/>
    </xf>
    <xf numFmtId="0" fontId="56" fillId="21" borderId="21" xfId="0" applyFont="1" applyFill="1" applyBorder="1" applyAlignment="1">
      <alignment horizontal="left" vertical="top" wrapText="1"/>
    </xf>
    <xf numFmtId="0" fontId="57" fillId="16" borderId="44" xfId="0" applyFont="1" applyFill="1" applyBorder="1" applyAlignment="1">
      <alignment horizontal="left" vertical="top" wrapText="1"/>
    </xf>
    <xf numFmtId="0" fontId="57" fillId="0" borderId="44" xfId="0" applyFont="1" applyBorder="1" applyAlignment="1">
      <alignment horizontal="left" vertical="top" wrapText="1"/>
    </xf>
    <xf numFmtId="0" fontId="60" fillId="0" borderId="44" xfId="0" applyFont="1" applyBorder="1" applyAlignment="1">
      <alignment horizontal="left" vertical="top" wrapText="1"/>
    </xf>
    <xf numFmtId="0" fontId="55" fillId="0" borderId="44" xfId="0" applyFont="1" applyBorder="1" applyAlignment="1">
      <alignment horizontal="left" vertical="top" wrapText="1"/>
    </xf>
    <xf numFmtId="0" fontId="56" fillId="0" borderId="44" xfId="0" applyFont="1" applyBorder="1" applyAlignment="1">
      <alignment horizontal="left" vertical="top" wrapText="1"/>
    </xf>
    <xf numFmtId="0" fontId="57" fillId="16" borderId="45" xfId="0" applyFont="1" applyFill="1" applyBorder="1" applyAlignment="1">
      <alignment horizontal="left" vertical="top" wrapText="1"/>
    </xf>
    <xf numFmtId="0" fontId="57" fillId="0" borderId="45" xfId="0" applyFont="1" applyBorder="1" applyAlignment="1">
      <alignment horizontal="left" vertical="top" wrapText="1"/>
    </xf>
    <xf numFmtId="0" fontId="60" fillId="0" borderId="45" xfId="0" applyFont="1" applyBorder="1" applyAlignment="1">
      <alignment horizontal="left" vertical="top" wrapText="1"/>
    </xf>
    <xf numFmtId="0" fontId="55" fillId="0" borderId="45" xfId="0" applyFont="1" applyBorder="1" applyAlignment="1">
      <alignment horizontal="left" vertical="top" wrapText="1"/>
    </xf>
    <xf numFmtId="0" fontId="56" fillId="0" borderId="45" xfId="0" applyFont="1" applyBorder="1" applyAlignment="1">
      <alignment horizontal="left" vertical="top" wrapText="1"/>
    </xf>
    <xf numFmtId="0" fontId="61" fillId="0" borderId="45" xfId="0" applyFont="1" applyBorder="1"/>
    <xf numFmtId="164" fontId="60" fillId="0" borderId="45" xfId="0" applyNumberFormat="1" applyFont="1" applyBorder="1" applyAlignment="1">
      <alignment horizontal="left" vertical="top" wrapText="1"/>
    </xf>
    <xf numFmtId="168" fontId="57" fillId="0" borderId="45" xfId="0" applyNumberFormat="1" applyFont="1" applyBorder="1" applyAlignment="1">
      <alignment horizontal="left" vertical="top" wrapText="1"/>
    </xf>
    <xf numFmtId="0" fontId="57" fillId="22" borderId="45" xfId="0" applyFont="1" applyFill="1" applyBorder="1" applyAlignment="1">
      <alignment horizontal="left" vertical="top" wrapText="1"/>
    </xf>
    <xf numFmtId="0" fontId="57" fillId="20" borderId="45" xfId="0" applyFont="1" applyFill="1" applyBorder="1" applyAlignment="1">
      <alignment horizontal="left" vertical="top" wrapText="1"/>
    </xf>
    <xf numFmtId="0" fontId="56" fillId="9" borderId="45" xfId="0" applyFont="1" applyFill="1" applyBorder="1" applyAlignment="1">
      <alignment horizontal="left" vertical="top" wrapText="1"/>
    </xf>
    <xf numFmtId="0" fontId="57" fillId="9" borderId="45" xfId="0" applyFont="1" applyFill="1" applyBorder="1" applyAlignment="1">
      <alignment horizontal="left" vertical="top" wrapText="1"/>
    </xf>
    <xf numFmtId="0" fontId="57" fillId="16" borderId="46" xfId="0" applyFont="1" applyFill="1" applyBorder="1" applyAlignment="1">
      <alignment horizontal="left" vertical="top" wrapText="1"/>
    </xf>
    <xf numFmtId="0" fontId="60" fillId="16" borderId="46" xfId="0" applyFont="1" applyFill="1" applyBorder="1" applyAlignment="1">
      <alignment horizontal="left" vertical="top" wrapText="1"/>
    </xf>
    <xf numFmtId="0" fontId="60" fillId="23" borderId="45" xfId="0" applyFont="1" applyFill="1" applyBorder="1" applyAlignment="1">
      <alignment horizontal="left" vertical="top" wrapText="1"/>
    </xf>
    <xf numFmtId="0" fontId="57" fillId="0" borderId="46" xfId="0" applyFont="1" applyBorder="1" applyAlignment="1">
      <alignment horizontal="left" vertical="top" wrapText="1"/>
    </xf>
    <xf numFmtId="0" fontId="60" fillId="0" borderId="46" xfId="0" applyFont="1" applyBorder="1" applyAlignment="1">
      <alignment horizontal="left" vertical="top" wrapText="1"/>
    </xf>
    <xf numFmtId="0" fontId="55" fillId="0" borderId="46" xfId="0" applyFont="1" applyBorder="1" applyAlignment="1">
      <alignment horizontal="left" vertical="top" wrapText="1"/>
    </xf>
    <xf numFmtId="0" fontId="56" fillId="0" borderId="46" xfId="0" applyFont="1" applyBorder="1" applyAlignment="1">
      <alignment horizontal="left" vertical="top" wrapText="1"/>
    </xf>
    <xf numFmtId="49" fontId="57" fillId="16" borderId="45" xfId="0" applyNumberFormat="1" applyFont="1" applyFill="1" applyBorder="1" applyAlignment="1">
      <alignment horizontal="left" vertical="top" wrapText="1"/>
    </xf>
    <xf numFmtId="0" fontId="37" fillId="0" borderId="45" xfId="0" applyFont="1" applyBorder="1" applyAlignment="1">
      <alignment horizontal="left" vertical="top" wrapText="1"/>
    </xf>
    <xf numFmtId="0" fontId="57" fillId="22" borderId="44" xfId="0" applyFont="1" applyFill="1" applyBorder="1" applyAlignment="1">
      <alignment horizontal="left" vertical="top" wrapText="1"/>
    </xf>
    <xf numFmtId="0" fontId="57" fillId="9" borderId="44" xfId="0" applyFont="1" applyFill="1" applyBorder="1" applyAlignment="1">
      <alignment horizontal="left" vertical="top" wrapText="1"/>
    </xf>
    <xf numFmtId="0" fontId="60" fillId="9" borderId="44" xfId="0" applyFont="1" applyFill="1" applyBorder="1" applyAlignment="1">
      <alignment horizontal="left" vertical="top" wrapText="1"/>
    </xf>
    <xf numFmtId="0" fontId="56" fillId="9" borderId="44" xfId="0" applyFont="1" applyFill="1" applyBorder="1" applyAlignment="1">
      <alignment horizontal="left" vertical="top" wrapText="1"/>
    </xf>
    <xf numFmtId="0" fontId="60" fillId="9" borderId="45" xfId="0" applyFont="1" applyFill="1" applyBorder="1" applyAlignment="1">
      <alignment horizontal="left" vertical="top" wrapText="1"/>
    </xf>
    <xf numFmtId="0" fontId="57" fillId="21" borderId="45" xfId="0" applyFont="1" applyFill="1" applyBorder="1" applyAlignment="1">
      <alignment horizontal="left" vertical="top" wrapText="1"/>
    </xf>
    <xf numFmtId="0" fontId="57" fillId="19" borderId="45" xfId="0" applyFont="1" applyFill="1" applyBorder="1" applyAlignment="1">
      <alignment horizontal="left" vertical="top" wrapText="1"/>
    </xf>
    <xf numFmtId="0" fontId="56" fillId="20" borderId="45" xfId="0" applyFont="1" applyFill="1" applyBorder="1" applyAlignment="1">
      <alignment horizontal="left" vertical="top" wrapText="1"/>
    </xf>
    <xf numFmtId="0" fontId="0" fillId="0" borderId="0" xfId="0" applyFill="1"/>
    <xf numFmtId="0" fontId="1" fillId="0" borderId="5" xfId="0" applyFont="1" applyFill="1" applyBorder="1" applyAlignment="1">
      <alignment horizontal="left" vertical="center"/>
    </xf>
    <xf numFmtId="0" fontId="0" fillId="0" borderId="8" xfId="0" applyFont="1" applyFill="1" applyBorder="1" applyAlignment="1">
      <alignment horizontal="right" vertical="center"/>
    </xf>
    <xf numFmtId="0" fontId="0" fillId="0" borderId="5" xfId="0" applyFont="1" applyFill="1" applyBorder="1" applyAlignment="1">
      <alignment horizontal="center" vertical="center"/>
    </xf>
    <xf numFmtId="0" fontId="0" fillId="0" borderId="5" xfId="0" applyFont="1" applyFill="1" applyBorder="1" applyAlignment="1">
      <alignment horizontal="right" vertical="center"/>
    </xf>
    <xf numFmtId="0" fontId="0" fillId="0" borderId="5" xfId="0" applyFont="1" applyFill="1" applyBorder="1" applyAlignment="1">
      <alignment horizontal="left" vertical="center"/>
    </xf>
    <xf numFmtId="0" fontId="0" fillId="3" borderId="5" xfId="0" applyFill="1" applyBorder="1"/>
    <xf numFmtId="0" fontId="64" fillId="3" borderId="5" xfId="0" applyFont="1" applyFill="1" applyBorder="1"/>
    <xf numFmtId="0" fontId="10" fillId="0" borderId="47" xfId="0" applyFont="1" applyBorder="1" applyAlignment="1">
      <alignment vertical="center"/>
    </xf>
    <xf numFmtId="0" fontId="0" fillId="0" borderId="48" xfId="0" applyBorder="1" applyAlignment="1">
      <alignment vertical="center"/>
    </xf>
    <xf numFmtId="0" fontId="65" fillId="0" borderId="0" xfId="0" applyFont="1" applyBorder="1" applyAlignment="1">
      <alignment vertical="center"/>
    </xf>
    <xf numFmtId="0" fontId="66" fillId="0" borderId="0" xfId="0" applyFont="1" applyBorder="1" applyAlignment="1">
      <alignment vertical="center"/>
    </xf>
    <xf numFmtId="0" fontId="67" fillId="0" borderId="0" xfId="0" applyFont="1" applyBorder="1" applyAlignment="1">
      <alignment horizontal="right" vertical="center"/>
    </xf>
    <xf numFmtId="0" fontId="6" fillId="0" borderId="0" xfId="0" applyFont="1" applyBorder="1" applyAlignment="1">
      <alignment horizontal="left" vertical="center"/>
    </xf>
    <xf numFmtId="0" fontId="3" fillId="0" borderId="0" xfId="0" applyFont="1" applyBorder="1" applyAlignment="1">
      <alignment horizontal="left" vertical="center"/>
    </xf>
    <xf numFmtId="0" fontId="1" fillId="0" borderId="8" xfId="0" applyFont="1" applyBorder="1" applyAlignment="1">
      <alignment vertical="center"/>
    </xf>
    <xf numFmtId="0" fontId="3" fillId="0" borderId="4" xfId="0" applyFont="1" applyBorder="1" applyAlignment="1">
      <alignment vertical="center"/>
    </xf>
    <xf numFmtId="0" fontId="1" fillId="0" borderId="6" xfId="0" applyFont="1" applyBorder="1" applyAlignment="1">
      <alignment vertical="center"/>
    </xf>
    <xf numFmtId="0" fontId="3" fillId="0" borderId="10" xfId="0" applyFont="1" applyBorder="1" applyAlignment="1">
      <alignment vertical="center"/>
    </xf>
    <xf numFmtId="0" fontId="3" fillId="0" borderId="7" xfId="0" applyFont="1" applyBorder="1" applyAlignment="1">
      <alignment horizontal="left" vertical="center"/>
    </xf>
    <xf numFmtId="0" fontId="1" fillId="0" borderId="9" xfId="0" applyFont="1" applyBorder="1" applyAlignment="1">
      <alignment vertical="center"/>
    </xf>
    <xf numFmtId="0" fontId="6" fillId="0" borderId="11" xfId="0" applyFont="1" applyBorder="1" applyAlignment="1">
      <alignment vertical="center"/>
    </xf>
    <xf numFmtId="0" fontId="5" fillId="0" borderId="0" xfId="0" applyFont="1" applyBorder="1" applyAlignment="1">
      <alignment vertical="top"/>
    </xf>
    <xf numFmtId="0" fontId="7" fillId="0" borderId="0" xfId="0" applyFont="1" applyBorder="1" applyAlignment="1">
      <alignment vertical="top"/>
    </xf>
    <xf numFmtId="0" fontId="5" fillId="0" borderId="0" xfId="0" applyFont="1" applyBorder="1" applyAlignment="1">
      <alignment vertical="top" wrapText="1"/>
    </xf>
    <xf numFmtId="0" fontId="68" fillId="0" borderId="0" xfId="0" applyFont="1" applyBorder="1" applyAlignment="1">
      <alignment vertical="center"/>
    </xf>
    <xf numFmtId="0" fontId="5" fillId="0" borderId="0" xfId="0" applyFont="1" applyBorder="1" applyAlignment="1">
      <alignment horizontal="center" wrapText="1"/>
    </xf>
    <xf numFmtId="0" fontId="5" fillId="0" borderId="0" xfId="0" applyFont="1" applyBorder="1" applyAlignment="1">
      <alignment wrapText="1"/>
    </xf>
    <xf numFmtId="0" fontId="7" fillId="0" borderId="49" xfId="0" applyFont="1" applyBorder="1" applyAlignment="1">
      <alignment horizontal="left" vertical="center"/>
    </xf>
    <xf numFmtId="0" fontId="1" fillId="0" borderId="50" xfId="0" applyFont="1" applyBorder="1" applyAlignment="1">
      <alignment horizontal="left" vertical="center"/>
    </xf>
    <xf numFmtId="0" fontId="68" fillId="0" borderId="0" xfId="0" applyFont="1" applyBorder="1"/>
    <xf numFmtId="0" fontId="1" fillId="0" borderId="5" xfId="0" applyFont="1" applyBorder="1" applyAlignment="1">
      <alignment vertical="center"/>
    </xf>
    <xf numFmtId="0" fontId="3" fillId="0" borderId="0" xfId="0" applyFont="1" applyBorder="1" applyAlignment="1">
      <alignment vertical="top" wrapText="1"/>
    </xf>
    <xf numFmtId="0" fontId="0" fillId="3" borderId="11" xfId="0" applyFill="1" applyBorder="1"/>
    <xf numFmtId="0" fontId="2" fillId="0" borderId="0" xfId="0" applyFont="1" applyBorder="1"/>
    <xf numFmtId="0" fontId="0" fillId="0" borderId="11" xfId="0" applyBorder="1"/>
    <xf numFmtId="0" fontId="0" fillId="0" borderId="7" xfId="0" applyBorder="1"/>
    <xf numFmtId="0" fontId="0" fillId="0" borderId="8" xfId="0" applyBorder="1"/>
    <xf numFmtId="0" fontId="0" fillId="0" borderId="9" xfId="0" applyBorder="1"/>
    <xf numFmtId="0" fontId="69" fillId="0" borderId="0" xfId="0" applyFont="1" applyBorder="1" applyAlignment="1">
      <alignment vertical="center"/>
    </xf>
    <xf numFmtId="0" fontId="31" fillId="0" borderId="0" xfId="0" applyFont="1" applyAlignment="1">
      <alignment horizontal="left"/>
    </xf>
    <xf numFmtId="0" fontId="31" fillId="0" borderId="0" xfId="0" applyFont="1" applyAlignment="1">
      <alignment horizontal="right"/>
    </xf>
    <xf numFmtId="0" fontId="0" fillId="0" borderId="0" xfId="0" applyAlignment="1">
      <alignment horizontal="center"/>
    </xf>
    <xf numFmtId="0" fontId="57" fillId="16" borderId="12" xfId="0" applyFont="1" applyFill="1" applyBorder="1" applyAlignment="1" applyProtection="1">
      <alignment horizontal="left" vertical="center"/>
    </xf>
    <xf numFmtId="0" fontId="0" fillId="2" borderId="25" xfId="0" applyFont="1" applyFill="1" applyBorder="1" applyAlignment="1" applyProtection="1">
      <alignment horizontal="center" vertical="center"/>
    </xf>
    <xf numFmtId="0" fontId="52" fillId="8" borderId="33" xfId="0" applyFont="1" applyFill="1" applyBorder="1" applyAlignment="1" applyProtection="1">
      <alignment horizontal="left" vertical="center"/>
    </xf>
    <xf numFmtId="0" fontId="42" fillId="2" borderId="33" xfId="0" applyFont="1" applyFill="1" applyBorder="1" applyAlignment="1" applyProtection="1">
      <alignment horizontal="center" vertical="center"/>
    </xf>
    <xf numFmtId="0" fontId="0" fillId="8" borderId="25" xfId="0" applyFont="1" applyFill="1" applyBorder="1" applyAlignment="1" applyProtection="1">
      <alignment horizontal="center" vertical="center"/>
    </xf>
    <xf numFmtId="0" fontId="0" fillId="2" borderId="33" xfId="0" applyFont="1" applyFill="1" applyBorder="1" applyAlignment="1" applyProtection="1">
      <alignment horizontal="center" vertical="center"/>
    </xf>
    <xf numFmtId="0" fontId="0" fillId="2" borderId="35" xfId="0" applyFont="1" applyFill="1" applyBorder="1" applyAlignment="1" applyProtection="1">
      <alignment horizontal="center" vertical="center"/>
    </xf>
    <xf numFmtId="0" fontId="0" fillId="2" borderId="35" xfId="0" applyFont="1" applyFill="1" applyBorder="1" applyAlignment="1" applyProtection="1">
      <alignment horizontal="left" vertical="center"/>
    </xf>
    <xf numFmtId="0" fontId="0" fillId="2" borderId="36" xfId="0" applyFont="1" applyFill="1" applyBorder="1" applyAlignment="1" applyProtection="1">
      <alignment horizontal="center" vertical="center"/>
    </xf>
    <xf numFmtId="0" fontId="0" fillId="2" borderId="22" xfId="0" applyFont="1" applyFill="1" applyBorder="1" applyAlignment="1" applyProtection="1">
      <alignment horizontal="center" vertical="center"/>
    </xf>
    <xf numFmtId="0" fontId="0" fillId="2" borderId="19" xfId="0" applyFont="1" applyFill="1" applyBorder="1" applyAlignment="1" applyProtection="1">
      <alignment horizontal="center" vertical="center"/>
    </xf>
    <xf numFmtId="0" fontId="0" fillId="2" borderId="41" xfId="0" applyFont="1" applyFill="1" applyBorder="1" applyAlignment="1" applyProtection="1">
      <alignment horizontal="center" vertical="center"/>
    </xf>
    <xf numFmtId="0" fontId="34" fillId="6" borderId="0" xfId="0" applyFont="1" applyFill="1" applyBorder="1" applyAlignment="1" applyProtection="1">
      <alignment horizontal="left" vertical="center"/>
    </xf>
    <xf numFmtId="0" fontId="53" fillId="6" borderId="36" xfId="0" applyFont="1" applyFill="1" applyBorder="1" applyAlignment="1" applyProtection="1">
      <alignment horizontal="left" vertical="center"/>
    </xf>
    <xf numFmtId="0" fontId="54" fillId="6" borderId="25" xfId="0" applyFont="1" applyFill="1" applyBorder="1" applyAlignment="1" applyProtection="1">
      <alignment horizontal="center" vertical="center"/>
    </xf>
    <xf numFmtId="0" fontId="0" fillId="2" borderId="17" xfId="0" applyFont="1" applyFill="1" applyBorder="1" applyAlignment="1" applyProtection="1">
      <alignment horizontal="center" vertical="center"/>
    </xf>
    <xf numFmtId="0" fontId="0" fillId="2" borderId="0" xfId="0" applyFont="1" applyFill="1" applyBorder="1" applyAlignment="1" applyProtection="1">
      <alignment horizontal="center" vertical="center"/>
    </xf>
    <xf numFmtId="0" fontId="0" fillId="2" borderId="20" xfId="0" applyFont="1" applyFill="1" applyBorder="1" applyAlignment="1" applyProtection="1">
      <alignment horizontal="center" vertical="center"/>
    </xf>
    <xf numFmtId="0" fontId="54" fillId="6" borderId="36" xfId="0" applyFont="1" applyFill="1" applyBorder="1" applyAlignment="1" applyProtection="1">
      <alignment horizontal="right" vertical="center"/>
    </xf>
    <xf numFmtId="0" fontId="34" fillId="6" borderId="29" xfId="0" applyFont="1" applyFill="1" applyBorder="1" applyAlignment="1" applyProtection="1">
      <alignment horizontal="left" vertical="center"/>
    </xf>
    <xf numFmtId="0" fontId="34" fillId="6" borderId="30" xfId="0" applyFont="1" applyFill="1" applyBorder="1" applyAlignment="1" applyProtection="1">
      <alignment horizontal="left" vertical="center"/>
    </xf>
    <xf numFmtId="0" fontId="54" fillId="6" borderId="30" xfId="0" applyFont="1" applyFill="1" applyBorder="1" applyAlignment="1" applyProtection="1">
      <alignment horizontal="right" vertical="center"/>
    </xf>
    <xf numFmtId="0" fontId="34" fillId="6" borderId="31" xfId="0" applyFont="1" applyFill="1" applyBorder="1" applyAlignment="1" applyProtection="1">
      <alignment horizontal="left" vertical="center"/>
    </xf>
    <xf numFmtId="0" fontId="34" fillId="6" borderId="32" xfId="0" applyFont="1" applyFill="1" applyBorder="1" applyAlignment="1" applyProtection="1">
      <alignment horizontal="left" vertical="center"/>
    </xf>
    <xf numFmtId="0" fontId="43" fillId="2" borderId="28" xfId="0" applyFont="1" applyFill="1" applyBorder="1" applyAlignment="1" applyProtection="1">
      <alignment horizontal="center" vertical="center"/>
    </xf>
    <xf numFmtId="0" fontId="43" fillId="2" borderId="26" xfId="0" applyFont="1" applyFill="1" applyBorder="1" applyAlignment="1" applyProtection="1">
      <alignment horizontal="center" vertical="center"/>
    </xf>
    <xf numFmtId="0" fontId="43" fillId="2" borderId="27" xfId="0" applyFont="1" applyFill="1" applyBorder="1" applyAlignment="1" applyProtection="1">
      <alignment horizontal="center" vertical="center"/>
    </xf>
    <xf numFmtId="0" fontId="43" fillId="2" borderId="25" xfId="0" applyFont="1" applyFill="1" applyBorder="1" applyAlignment="1" applyProtection="1">
      <alignment horizontal="center" vertical="center"/>
    </xf>
    <xf numFmtId="0" fontId="43" fillId="2" borderId="25" xfId="0" applyFont="1" applyFill="1" applyBorder="1" applyAlignment="1" applyProtection="1">
      <alignment horizontal="left" vertical="center"/>
    </xf>
    <xf numFmtId="0" fontId="36" fillId="2" borderId="26" xfId="0" applyFont="1" applyFill="1" applyBorder="1" applyAlignment="1" applyProtection="1">
      <alignment horizontal="left" vertical="center"/>
    </xf>
    <xf numFmtId="0" fontId="36" fillId="2" borderId="27" xfId="0" applyFont="1" applyFill="1" applyBorder="1" applyAlignment="1" applyProtection="1">
      <alignment horizontal="left" vertical="center"/>
    </xf>
    <xf numFmtId="0" fontId="0" fillId="2" borderId="15" xfId="0" applyFont="1" applyFill="1" applyBorder="1" applyAlignment="1" applyProtection="1">
      <alignment horizontal="center" vertical="center"/>
    </xf>
    <xf numFmtId="0" fontId="0" fillId="2" borderId="23" xfId="0" applyFont="1" applyFill="1" applyBorder="1" applyAlignment="1" applyProtection="1">
      <alignment horizontal="center" vertical="center"/>
    </xf>
    <xf numFmtId="0" fontId="0" fillId="2" borderId="16" xfId="0" applyFont="1" applyFill="1" applyBorder="1" applyAlignment="1" applyProtection="1">
      <alignment horizontal="center" vertical="center"/>
    </xf>
    <xf numFmtId="0" fontId="52" fillId="8" borderId="33" xfId="0" applyFont="1" applyFill="1" applyBorder="1" applyAlignment="1" applyProtection="1">
      <alignment horizontal="left" vertical="center"/>
      <protection locked="0"/>
    </xf>
    <xf numFmtId="0" fontId="34" fillId="8" borderId="21" xfId="0" applyFont="1" applyFill="1" applyBorder="1" applyAlignment="1" applyProtection="1">
      <alignment horizontal="center" vertical="center"/>
      <protection locked="0"/>
    </xf>
    <xf numFmtId="169" fontId="71" fillId="23" borderId="21" xfId="0" applyNumberFormat="1" applyFont="1" applyFill="1" applyBorder="1" applyAlignment="1" applyProtection="1">
      <alignment horizontal="center" vertical="center"/>
      <protection locked="0"/>
    </xf>
    <xf numFmtId="0" fontId="34" fillId="6" borderId="33" xfId="1" applyFont="1" applyFill="1" applyBorder="1" applyAlignment="1" applyProtection="1">
      <alignment horizontal="center" vertical="center"/>
      <protection locked="0"/>
    </xf>
    <xf numFmtId="0" fontId="34" fillId="6" borderId="25" xfId="1" applyFont="1" applyFill="1" applyBorder="1" applyAlignment="1" applyProtection="1">
      <alignment horizontal="left" vertical="center"/>
      <protection locked="0"/>
    </xf>
    <xf numFmtId="1" fontId="34" fillId="6" borderId="34" xfId="1" applyNumberFormat="1" applyFont="1" applyFill="1" applyBorder="1" applyAlignment="1" applyProtection="1">
      <alignment horizontal="center" vertical="center"/>
      <protection locked="0"/>
    </xf>
    <xf numFmtId="0" fontId="34" fillId="6" borderId="34" xfId="1" applyFont="1" applyFill="1" applyBorder="1" applyAlignment="1" applyProtection="1">
      <alignment horizontal="left" vertical="center"/>
      <protection locked="0"/>
    </xf>
    <xf numFmtId="1" fontId="34" fillId="6" borderId="25" xfId="1" applyNumberFormat="1" applyFont="1" applyFill="1" applyBorder="1" applyAlignment="1" applyProtection="1">
      <alignment horizontal="center" vertical="center"/>
      <protection locked="0"/>
    </xf>
    <xf numFmtId="166" fontId="34" fillId="11" borderId="25" xfId="1" applyNumberFormat="1" applyFont="1" applyFill="1" applyBorder="1" applyAlignment="1" applyProtection="1">
      <alignment horizontal="center" vertical="center"/>
      <protection locked="0"/>
    </xf>
    <xf numFmtId="1" fontId="34" fillId="7" borderId="25" xfId="1" applyNumberFormat="1" applyFont="1" applyFill="1" applyBorder="1" applyAlignment="1" applyProtection="1">
      <alignment horizontal="center" vertical="center"/>
      <protection locked="0"/>
    </xf>
    <xf numFmtId="0" fontId="34" fillId="6" borderId="25" xfId="1" applyFont="1" applyFill="1" applyBorder="1" applyAlignment="1" applyProtection="1">
      <alignment horizontal="center" vertical="center"/>
      <protection locked="0"/>
    </xf>
    <xf numFmtId="0" fontId="34" fillId="6" borderId="42" xfId="1" applyFont="1" applyFill="1" applyBorder="1" applyAlignment="1" applyProtection="1">
      <alignment horizontal="center" vertical="center"/>
      <protection locked="0"/>
    </xf>
    <xf numFmtId="1" fontId="34" fillId="15" borderId="25" xfId="1" applyNumberFormat="1" applyFont="1" applyFill="1" applyBorder="1" applyAlignment="1" applyProtection="1">
      <alignment horizontal="center" vertical="center"/>
      <protection locked="0"/>
    </xf>
    <xf numFmtId="0" fontId="34" fillId="15" borderId="25" xfId="1" applyFont="1" applyFill="1" applyBorder="1" applyAlignment="1" applyProtection="1">
      <alignment horizontal="left" vertical="center"/>
      <protection locked="0"/>
    </xf>
    <xf numFmtId="0" fontId="34" fillId="15" borderId="33" xfId="1" applyFont="1" applyFill="1" applyBorder="1" applyAlignment="1" applyProtection="1">
      <alignment horizontal="center" vertical="center"/>
      <protection locked="0"/>
    </xf>
    <xf numFmtId="1" fontId="34" fillId="15" borderId="34" xfId="1" applyNumberFormat="1" applyFont="1" applyFill="1" applyBorder="1" applyAlignment="1" applyProtection="1">
      <alignment horizontal="center" vertical="center"/>
      <protection locked="0"/>
    </xf>
    <xf numFmtId="0" fontId="34" fillId="15" borderId="34" xfId="1" applyFont="1" applyFill="1" applyBorder="1" applyAlignment="1" applyProtection="1">
      <alignment horizontal="left" vertical="center"/>
      <protection locked="0"/>
    </xf>
    <xf numFmtId="167" fontId="34" fillId="15" borderId="25" xfId="1" applyNumberFormat="1" applyFont="1" applyFill="1" applyBorder="1" applyAlignment="1" applyProtection="1">
      <alignment horizontal="center" vertical="center"/>
      <protection locked="0"/>
    </xf>
    <xf numFmtId="0" fontId="34" fillId="15" borderId="40" xfId="1" applyFont="1" applyFill="1" applyBorder="1" applyAlignment="1" applyProtection="1">
      <alignment horizontal="center" vertical="center"/>
      <protection locked="0"/>
    </xf>
    <xf numFmtId="0" fontId="34" fillId="15" borderId="25" xfId="1" applyFont="1" applyFill="1" applyBorder="1" applyAlignment="1" applyProtection="1">
      <alignment horizontal="center" vertical="center"/>
      <protection locked="0"/>
    </xf>
    <xf numFmtId="14" fontId="0" fillId="0" borderId="0" xfId="0" applyNumberFormat="1"/>
    <xf numFmtId="169" fontId="0" fillId="0" borderId="0" xfId="0" applyNumberFormat="1"/>
    <xf numFmtId="0" fontId="0" fillId="0" borderId="0" xfId="0" applyAlignment="1">
      <alignment horizontal="left"/>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3" fillId="0" borderId="6" xfId="0" applyFont="1" applyBorder="1" applyAlignment="1">
      <alignment horizontal="left" vertical="top" wrapText="1"/>
    </xf>
    <xf numFmtId="0" fontId="3" fillId="0" borderId="10" xfId="0" applyFont="1" applyBorder="1" applyAlignment="1">
      <alignment horizontal="left" vertical="top" wrapText="1"/>
    </xf>
    <xf numFmtId="0" fontId="3" fillId="0" borderId="0" xfId="0" applyFont="1" applyBorder="1" applyAlignment="1">
      <alignment horizontal="left" vertical="top" wrapText="1"/>
    </xf>
    <xf numFmtId="0" fontId="3" fillId="0" borderId="11" xfId="0" applyFont="1" applyBorder="1" applyAlignment="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5" fillId="0" borderId="5" xfId="0" applyFont="1" applyBorder="1" applyAlignment="1">
      <alignment horizontal="left" vertical="center" wrapText="1"/>
    </xf>
    <xf numFmtId="0" fontId="25" fillId="0" borderId="0" xfId="0" applyFont="1" applyBorder="1" applyAlignment="1">
      <alignment horizontal="center" vertical="center" wrapText="1"/>
    </xf>
    <xf numFmtId="0" fontId="0" fillId="0" borderId="4" xfId="0" applyFont="1" applyBorder="1" applyAlignment="1">
      <alignment horizontal="left" vertical="center" wrapText="1"/>
    </xf>
    <xf numFmtId="0" fontId="0" fillId="0" borderId="5" xfId="0" applyFont="1" applyBorder="1" applyAlignment="1">
      <alignment horizontal="left" vertical="center" wrapText="1"/>
    </xf>
    <xf numFmtId="0" fontId="0" fillId="0" borderId="6" xfId="0" applyFont="1" applyBorder="1" applyAlignment="1">
      <alignment horizontal="left" vertical="center" wrapText="1"/>
    </xf>
    <xf numFmtId="0" fontId="0" fillId="0" borderId="7" xfId="0" applyFont="1" applyBorder="1" applyAlignment="1">
      <alignment horizontal="left" vertical="center" wrapText="1"/>
    </xf>
    <xf numFmtId="0" fontId="0" fillId="0" borderId="8" xfId="0" applyFont="1" applyBorder="1" applyAlignment="1">
      <alignment horizontal="left" vertical="center" wrapText="1"/>
    </xf>
    <xf numFmtId="0" fontId="0" fillId="0" borderId="9" xfId="0" applyFont="1" applyBorder="1" applyAlignment="1">
      <alignment horizontal="left" vertical="center" wrapText="1"/>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2" xfId="0" applyFont="1" applyBorder="1" applyAlignment="1">
      <alignment horizontal="left" vertical="center"/>
    </xf>
    <xf numFmtId="165" fontId="34" fillId="0" borderId="4" xfId="0" applyNumberFormat="1" applyFont="1" applyBorder="1" applyAlignment="1">
      <alignment horizontal="left" vertical="center"/>
    </xf>
    <xf numFmtId="165" fontId="34" fillId="0" borderId="5" xfId="0" applyNumberFormat="1" applyFont="1" applyBorder="1" applyAlignment="1">
      <alignment horizontal="left" vertical="center"/>
    </xf>
    <xf numFmtId="165" fontId="34" fillId="0" borderId="6" xfId="0" applyNumberFormat="1" applyFont="1" applyBorder="1" applyAlignment="1">
      <alignment horizontal="left" vertical="center"/>
    </xf>
    <xf numFmtId="165" fontId="34" fillId="0" borderId="7" xfId="0" applyNumberFormat="1" applyFont="1" applyBorder="1" applyAlignment="1">
      <alignment horizontal="left" vertical="center"/>
    </xf>
    <xf numFmtId="165" fontId="34" fillId="0" borderId="8" xfId="0" applyNumberFormat="1" applyFont="1" applyBorder="1" applyAlignment="1">
      <alignment horizontal="left" vertical="center"/>
    </xf>
    <xf numFmtId="165" fontId="34" fillId="0" borderId="9" xfId="0" applyNumberFormat="1" applyFont="1" applyBorder="1" applyAlignment="1">
      <alignment horizontal="left" vertical="center"/>
    </xf>
    <xf numFmtId="0" fontId="34" fillId="0" borderId="4" xfId="0" applyFont="1" applyBorder="1" applyAlignment="1">
      <alignment horizontal="left" vertical="center"/>
    </xf>
    <xf numFmtId="0" fontId="34" fillId="0" borderId="5" xfId="0" applyFont="1" applyBorder="1" applyAlignment="1">
      <alignment horizontal="left" vertical="center"/>
    </xf>
    <xf numFmtId="0" fontId="34" fillId="0" borderId="6" xfId="0" applyFont="1" applyBorder="1" applyAlignment="1">
      <alignment horizontal="left" vertical="center"/>
    </xf>
    <xf numFmtId="0" fontId="34" fillId="0" borderId="7" xfId="0" applyFont="1" applyBorder="1" applyAlignment="1">
      <alignment horizontal="left" vertical="center"/>
    </xf>
    <xf numFmtId="0" fontId="34" fillId="0" borderId="8" xfId="0" applyFont="1" applyBorder="1" applyAlignment="1">
      <alignment horizontal="left" vertical="center"/>
    </xf>
    <xf numFmtId="0" fontId="34" fillId="0" borderId="9" xfId="0" applyFont="1" applyBorder="1" applyAlignment="1">
      <alignment horizontal="left" vertical="center"/>
    </xf>
    <xf numFmtId="0" fontId="1" fillId="0" borderId="4" xfId="0" applyFont="1" applyBorder="1" applyAlignment="1">
      <alignment horizontal="center" vertical="top"/>
    </xf>
    <xf numFmtId="0" fontId="1" fillId="0" borderId="5" xfId="0" applyFont="1" applyBorder="1" applyAlignment="1">
      <alignment horizontal="center" vertical="top"/>
    </xf>
    <xf numFmtId="0" fontId="1" fillId="0" borderId="6" xfId="0" applyFont="1" applyBorder="1" applyAlignment="1">
      <alignment horizontal="center" vertical="top"/>
    </xf>
    <xf numFmtId="0" fontId="1" fillId="0" borderId="7" xfId="0" applyFont="1" applyBorder="1" applyAlignment="1">
      <alignment horizontal="center" vertical="top"/>
    </xf>
    <xf numFmtId="0" fontId="1" fillId="0" borderId="8" xfId="0" applyFont="1" applyBorder="1" applyAlignment="1">
      <alignment horizontal="center" vertical="top"/>
    </xf>
    <xf numFmtId="0" fontId="1" fillId="0" borderId="9" xfId="0" applyFont="1" applyBorder="1" applyAlignment="1">
      <alignment horizontal="center" vertical="top"/>
    </xf>
    <xf numFmtId="0" fontId="2" fillId="0" borderId="4" xfId="0" applyFont="1" applyBorder="1" applyAlignment="1">
      <alignment horizontal="center" vertical="top"/>
    </xf>
    <xf numFmtId="0" fontId="2" fillId="0" borderId="5" xfId="0" applyFont="1" applyBorder="1" applyAlignment="1">
      <alignment horizontal="center" vertical="top"/>
    </xf>
    <xf numFmtId="0" fontId="2" fillId="0" borderId="6" xfId="0" applyFont="1" applyBorder="1" applyAlignment="1">
      <alignment horizontal="center" vertical="top"/>
    </xf>
    <xf numFmtId="0" fontId="2" fillId="0" borderId="7" xfId="0" applyFont="1" applyBorder="1" applyAlignment="1">
      <alignment horizontal="center" vertical="top"/>
    </xf>
    <xf numFmtId="0" fontId="2" fillId="0" borderId="8" xfId="0" applyFont="1" applyBorder="1" applyAlignment="1">
      <alignment horizontal="center" vertical="top"/>
    </xf>
    <xf numFmtId="0" fontId="2" fillId="0" borderId="9" xfId="0" applyFont="1" applyBorder="1" applyAlignment="1">
      <alignment horizontal="center" vertical="top"/>
    </xf>
    <xf numFmtId="165" fontId="34" fillId="0" borderId="4" xfId="0" applyNumberFormat="1" applyFont="1" applyBorder="1" applyAlignment="1">
      <alignment horizontal="center" vertical="center"/>
    </xf>
    <xf numFmtId="165" fontId="34" fillId="0" borderId="5" xfId="0" applyNumberFormat="1" applyFont="1" applyBorder="1" applyAlignment="1">
      <alignment horizontal="center" vertical="center"/>
    </xf>
    <xf numFmtId="165" fontId="34" fillId="0" borderId="6" xfId="0" applyNumberFormat="1" applyFont="1" applyBorder="1" applyAlignment="1">
      <alignment horizontal="center" vertical="center"/>
    </xf>
    <xf numFmtId="165" fontId="34" fillId="0" borderId="7" xfId="0" applyNumberFormat="1" applyFont="1" applyBorder="1" applyAlignment="1">
      <alignment horizontal="center" vertical="center"/>
    </xf>
    <xf numFmtId="165" fontId="34" fillId="0" borderId="8" xfId="0" applyNumberFormat="1" applyFont="1" applyBorder="1" applyAlignment="1">
      <alignment horizontal="center" vertical="center"/>
    </xf>
    <xf numFmtId="165" fontId="34" fillId="0" borderId="9" xfId="0" applyNumberFormat="1" applyFont="1" applyBorder="1" applyAlignment="1">
      <alignment horizontal="center" vertical="center"/>
    </xf>
    <xf numFmtId="0" fontId="34" fillId="0" borderId="4" xfId="0" applyFont="1" applyBorder="1" applyAlignment="1">
      <alignment horizontal="center" vertical="center"/>
    </xf>
    <xf numFmtId="0" fontId="34" fillId="0" borderId="5" xfId="0" applyFont="1" applyBorder="1" applyAlignment="1">
      <alignment horizontal="center" vertical="center"/>
    </xf>
    <xf numFmtId="0" fontId="34" fillId="0" borderId="6" xfId="0" applyFont="1" applyBorder="1" applyAlignment="1">
      <alignment horizontal="center" vertical="center"/>
    </xf>
    <xf numFmtId="0" fontId="34" fillId="0" borderId="7" xfId="0" applyFont="1" applyBorder="1" applyAlignment="1">
      <alignment horizontal="center" vertical="center"/>
    </xf>
    <xf numFmtId="0" fontId="34" fillId="0" borderId="8" xfId="0" applyFont="1" applyBorder="1" applyAlignment="1">
      <alignment horizontal="center" vertical="center"/>
    </xf>
    <xf numFmtId="0" fontId="34" fillId="0" borderId="9" xfId="0" applyFont="1" applyBorder="1" applyAlignment="1">
      <alignment horizontal="center" vertical="center"/>
    </xf>
    <xf numFmtId="0" fontId="0" fillId="0" borderId="51" xfId="0" applyFont="1" applyBorder="1" applyAlignment="1">
      <alignment horizontal="center" vertical="center"/>
    </xf>
    <xf numFmtId="0" fontId="0" fillId="0" borderId="52" xfId="0" applyFont="1" applyBorder="1" applyAlignment="1">
      <alignment horizontal="center" vertical="center"/>
    </xf>
    <xf numFmtId="0" fontId="0" fillId="0" borderId="53" xfId="0" applyFont="1" applyBorder="1" applyAlignment="1">
      <alignment horizontal="center" vertical="center"/>
    </xf>
    <xf numFmtId="0" fontId="0" fillId="0" borderId="54" xfId="0" applyFont="1" applyBorder="1" applyAlignment="1">
      <alignment horizontal="center" vertical="center"/>
    </xf>
    <xf numFmtId="0" fontId="0" fillId="2" borderId="1" xfId="0" applyFont="1" applyFill="1" applyBorder="1" applyAlignment="1">
      <alignment horizontal="left" vertical="center"/>
    </xf>
    <xf numFmtId="0" fontId="0" fillId="2" borderId="3" xfId="0" applyFont="1" applyFill="1" applyBorder="1" applyAlignment="1">
      <alignment horizontal="left" vertical="center"/>
    </xf>
    <xf numFmtId="0" fontId="0" fillId="2" borderId="2" xfId="0" applyFont="1" applyFill="1" applyBorder="1" applyAlignment="1">
      <alignment horizontal="left" vertical="center"/>
    </xf>
    <xf numFmtId="0" fontId="0" fillId="4" borderId="21" xfId="0" applyFont="1" applyFill="1" applyBorder="1" applyAlignment="1">
      <alignment horizontal="center" vertical="center"/>
    </xf>
    <xf numFmtId="0" fontId="0" fillId="9" borderId="1" xfId="0" applyFont="1" applyFill="1" applyBorder="1" applyAlignment="1">
      <alignment horizontal="center" vertical="center"/>
    </xf>
    <xf numFmtId="0" fontId="0" fillId="9" borderId="3" xfId="0" applyFont="1" applyFill="1" applyBorder="1" applyAlignment="1">
      <alignment horizontal="center" vertical="center"/>
    </xf>
    <xf numFmtId="0" fontId="0" fillId="9" borderId="2" xfId="0" applyFont="1" applyFill="1" applyBorder="1" applyAlignment="1">
      <alignment horizontal="center" vertical="center"/>
    </xf>
    <xf numFmtId="0" fontId="70" fillId="4" borderId="1" xfId="0" applyFont="1" applyFill="1" applyBorder="1" applyAlignment="1">
      <alignment horizontal="center" vertical="center"/>
    </xf>
    <xf numFmtId="0" fontId="70" fillId="4" borderId="3" xfId="0" applyFont="1" applyFill="1" applyBorder="1" applyAlignment="1">
      <alignment horizontal="center" vertical="center"/>
    </xf>
    <xf numFmtId="0" fontId="70" fillId="4" borderId="2"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3" xfId="0" applyFont="1" applyFill="1" applyBorder="1" applyAlignment="1">
      <alignment horizontal="center" vertical="center"/>
    </xf>
    <xf numFmtId="0" fontId="0" fillId="4" borderId="2" xfId="0" applyFont="1" applyFill="1" applyBorder="1" applyAlignment="1">
      <alignment horizontal="center" vertical="center"/>
    </xf>
    <xf numFmtId="0" fontId="1" fillId="0" borderId="4" xfId="0" applyFont="1" applyBorder="1" applyAlignment="1">
      <alignment horizontal="left" vertical="top"/>
    </xf>
    <xf numFmtId="0" fontId="1" fillId="0" borderId="5" xfId="0" applyFont="1" applyBorder="1" applyAlignment="1">
      <alignment horizontal="left" vertical="top"/>
    </xf>
    <xf numFmtId="0" fontId="1" fillId="0" borderId="6" xfId="0" applyFont="1" applyBorder="1" applyAlignment="1">
      <alignment horizontal="left" vertical="top"/>
    </xf>
    <xf numFmtId="0" fontId="1" fillId="0" borderId="7" xfId="0" applyFont="1" applyBorder="1" applyAlignment="1">
      <alignment horizontal="left" vertical="top"/>
    </xf>
    <xf numFmtId="0" fontId="1" fillId="0" borderId="8" xfId="0" applyFont="1" applyBorder="1" applyAlignment="1">
      <alignment horizontal="left" vertical="top"/>
    </xf>
    <xf numFmtId="0" fontId="1" fillId="0" borderId="9" xfId="0" applyFont="1" applyBorder="1" applyAlignment="1">
      <alignment horizontal="left" vertical="top"/>
    </xf>
    <xf numFmtId="0" fontId="40" fillId="13" borderId="17" xfId="0" applyFont="1" applyFill="1" applyBorder="1" applyAlignment="1">
      <alignment horizontal="left" vertical="top" wrapText="1"/>
    </xf>
    <xf numFmtId="0" fontId="40" fillId="13" borderId="0" xfId="0" applyFont="1" applyFill="1" applyBorder="1" applyAlignment="1">
      <alignment horizontal="left" vertical="top" wrapText="1"/>
    </xf>
    <xf numFmtId="0" fontId="40" fillId="13" borderId="20" xfId="0" applyFont="1" applyFill="1" applyBorder="1" applyAlignment="1">
      <alignment horizontal="left" vertical="top" wrapText="1"/>
    </xf>
    <xf numFmtId="0" fontId="0" fillId="4" borderId="21" xfId="0" applyFont="1" applyFill="1" applyBorder="1" applyAlignment="1">
      <alignment horizontal="right" vertical="center"/>
    </xf>
    <xf numFmtId="0" fontId="34" fillId="0" borderId="4" xfId="0" applyFont="1" applyBorder="1" applyAlignment="1">
      <alignment horizontal="left" vertical="center" wrapText="1"/>
    </xf>
    <xf numFmtId="0" fontId="34" fillId="0" borderId="5" xfId="0" applyFont="1" applyBorder="1" applyAlignment="1">
      <alignment horizontal="left" vertical="center" wrapText="1"/>
    </xf>
    <xf numFmtId="0" fontId="34" fillId="0" borderId="6" xfId="0" applyFont="1" applyBorder="1" applyAlignment="1">
      <alignment horizontal="left" vertical="center" wrapText="1"/>
    </xf>
    <xf numFmtId="0" fontId="34" fillId="0" borderId="7" xfId="0" applyFont="1" applyBorder="1" applyAlignment="1">
      <alignment horizontal="left" vertical="center" wrapText="1"/>
    </xf>
    <xf numFmtId="0" fontId="34" fillId="0" borderId="8" xfId="0" applyFont="1" applyBorder="1" applyAlignment="1">
      <alignment horizontal="left" vertical="center" wrapText="1"/>
    </xf>
    <xf numFmtId="0" fontId="34" fillId="0" borderId="9" xfId="0" applyFont="1" applyBorder="1" applyAlignment="1">
      <alignment horizontal="left" vertical="center" wrapText="1"/>
    </xf>
    <xf numFmtId="0" fontId="51" fillId="13" borderId="17" xfId="0" applyFont="1" applyFill="1" applyBorder="1" applyAlignment="1">
      <alignment horizontal="left" vertical="top" wrapText="1"/>
    </xf>
    <xf numFmtId="0" fontId="51" fillId="13" borderId="0" xfId="0" applyFont="1" applyFill="1" applyBorder="1" applyAlignment="1">
      <alignment horizontal="left" vertical="top" wrapText="1"/>
    </xf>
    <xf numFmtId="0" fontId="51" fillId="13" borderId="20" xfId="0" applyFont="1" applyFill="1" applyBorder="1" applyAlignment="1">
      <alignment horizontal="left" vertical="top" wrapText="1"/>
    </xf>
    <xf numFmtId="0" fontId="0" fillId="12" borderId="18" xfId="0" applyFill="1" applyBorder="1" applyAlignment="1">
      <alignment horizontal="center" vertical="top"/>
    </xf>
    <xf numFmtId="0" fontId="0" fillId="9" borderId="1" xfId="0" applyFont="1" applyFill="1" applyBorder="1" applyAlignment="1">
      <alignment horizontal="left" vertical="center"/>
    </xf>
    <xf numFmtId="0" fontId="0" fillId="9" borderId="3" xfId="0" applyFont="1" applyFill="1" applyBorder="1" applyAlignment="1">
      <alignment horizontal="left" vertical="center"/>
    </xf>
    <xf numFmtId="0" fontId="0" fillId="0" borderId="1" xfId="0" applyFont="1" applyBorder="1" applyAlignment="1">
      <alignment horizontal="left" vertical="center"/>
    </xf>
    <xf numFmtId="0" fontId="0" fillId="0" borderId="3" xfId="0" applyFont="1" applyBorder="1" applyAlignment="1">
      <alignment horizontal="left" vertical="center"/>
    </xf>
    <xf numFmtId="0" fontId="0" fillId="0" borderId="4" xfId="0" applyFont="1" applyBorder="1" applyAlignment="1">
      <alignment horizontal="left" vertical="center"/>
    </xf>
    <xf numFmtId="0" fontId="0" fillId="0" borderId="5" xfId="0" applyFont="1" applyBorder="1" applyAlignment="1">
      <alignment horizontal="left" vertical="center"/>
    </xf>
    <xf numFmtId="0" fontId="0" fillId="0" borderId="6" xfId="0" applyFont="1" applyBorder="1" applyAlignment="1">
      <alignment horizontal="left" vertical="center"/>
    </xf>
    <xf numFmtId="0" fontId="0" fillId="0" borderId="7" xfId="0" applyFont="1" applyBorder="1" applyAlignment="1">
      <alignment horizontal="left" vertical="center"/>
    </xf>
    <xf numFmtId="0" fontId="0" fillId="0" borderId="8" xfId="0" applyFont="1" applyBorder="1" applyAlignment="1">
      <alignment horizontal="left" vertical="center"/>
    </xf>
    <xf numFmtId="0" fontId="0" fillId="0" borderId="9" xfId="0" applyFont="1" applyBorder="1" applyAlignment="1">
      <alignment horizontal="left" vertical="center"/>
    </xf>
    <xf numFmtId="0" fontId="35" fillId="0" borderId="4" xfId="0" applyFont="1" applyBorder="1" applyAlignment="1">
      <alignment horizontal="center" vertical="center"/>
    </xf>
    <xf numFmtId="0" fontId="35" fillId="0" borderId="5" xfId="0" applyFont="1" applyBorder="1" applyAlignment="1">
      <alignment horizontal="center" vertical="center"/>
    </xf>
    <xf numFmtId="0" fontId="35" fillId="0" borderId="6" xfId="0" applyFont="1" applyBorder="1" applyAlignment="1">
      <alignment horizontal="center" vertical="center"/>
    </xf>
    <xf numFmtId="0" fontId="35" fillId="0" borderId="7" xfId="0" applyFont="1" applyBorder="1" applyAlignment="1">
      <alignment horizontal="center" vertical="center"/>
    </xf>
    <xf numFmtId="0" fontId="35" fillId="0" borderId="8" xfId="0" applyFont="1" applyBorder="1" applyAlignment="1">
      <alignment horizontal="center" vertical="center"/>
    </xf>
    <xf numFmtId="0" fontId="35" fillId="0" borderId="9" xfId="0" applyFont="1" applyBorder="1" applyAlignment="1">
      <alignment horizontal="center" vertical="center"/>
    </xf>
    <xf numFmtId="1" fontId="34" fillId="11" borderId="25" xfId="1" applyNumberFormat="1" applyFont="1" applyFill="1" applyBorder="1" applyAlignment="1" applyProtection="1">
      <alignment horizontal="center" vertical="center" textRotation="90" wrapText="1"/>
    </xf>
    <xf numFmtId="1" fontId="34" fillId="11" borderId="26" xfId="1" applyNumberFormat="1" applyFont="1" applyFill="1" applyBorder="1" applyAlignment="1" applyProtection="1">
      <alignment horizontal="center" vertical="center" textRotation="90" wrapText="1"/>
    </xf>
    <xf numFmtId="1" fontId="34" fillId="7" borderId="33" xfId="1" applyNumberFormat="1" applyFont="1" applyFill="1" applyBorder="1" applyAlignment="1" applyProtection="1">
      <alignment horizontal="center" vertical="center" textRotation="90"/>
    </xf>
    <xf numFmtId="0" fontId="34" fillId="7" borderId="33" xfId="0" applyFont="1" applyFill="1" applyBorder="1" applyAlignment="1" applyProtection="1">
      <alignment horizontal="center" vertical="center"/>
    </xf>
    <xf numFmtId="0" fontId="34" fillId="7" borderId="27" xfId="0" applyFont="1" applyFill="1" applyBorder="1" applyAlignment="1" applyProtection="1">
      <alignment horizontal="center" vertical="center"/>
    </xf>
    <xf numFmtId="2" fontId="34" fillId="7" borderId="33" xfId="1" applyNumberFormat="1" applyFont="1" applyFill="1" applyBorder="1" applyAlignment="1" applyProtection="1">
      <alignment horizontal="center" vertical="center" textRotation="90"/>
    </xf>
    <xf numFmtId="2" fontId="34" fillId="7" borderId="33" xfId="0" applyNumberFormat="1" applyFont="1" applyFill="1" applyBorder="1" applyAlignment="1" applyProtection="1">
      <alignment horizontal="center" vertical="center"/>
    </xf>
    <xf numFmtId="2" fontId="34" fillId="7" borderId="27" xfId="0" applyNumberFormat="1" applyFont="1" applyFill="1" applyBorder="1" applyAlignment="1" applyProtection="1">
      <alignment horizontal="center" vertical="center"/>
    </xf>
    <xf numFmtId="1" fontId="34" fillId="7" borderId="25" xfId="1" applyNumberFormat="1" applyFont="1" applyFill="1" applyBorder="1" applyAlignment="1" applyProtection="1">
      <alignment horizontal="center" vertical="center" textRotation="90"/>
    </xf>
    <xf numFmtId="0" fontId="34" fillId="7" borderId="25" xfId="0" applyFont="1" applyFill="1" applyBorder="1" applyAlignment="1" applyProtection="1">
      <alignment horizontal="center" vertical="center"/>
    </xf>
    <xf numFmtId="0" fontId="34" fillId="7" borderId="26" xfId="0" applyFont="1" applyFill="1" applyBorder="1" applyAlignment="1" applyProtection="1">
      <alignment horizontal="center" vertical="center"/>
    </xf>
    <xf numFmtId="1" fontId="34" fillId="6" borderId="27" xfId="1" applyNumberFormat="1" applyFont="1" applyFill="1" applyBorder="1" applyAlignment="1" applyProtection="1">
      <alignment horizontal="center" vertical="center" textRotation="90" wrapText="1"/>
    </xf>
    <xf numFmtId="0" fontId="34" fillId="6" borderId="37" xfId="0" applyFont="1" applyFill="1" applyBorder="1" applyAlignment="1" applyProtection="1">
      <alignment horizontal="center" vertical="center" wrapText="1"/>
    </xf>
    <xf numFmtId="1" fontId="34" fillId="6" borderId="36" xfId="1" applyNumberFormat="1" applyFont="1" applyFill="1" applyBorder="1" applyAlignment="1" applyProtection="1">
      <alignment horizontal="center" vertical="center" textRotation="90" wrapText="1"/>
    </xf>
    <xf numFmtId="0" fontId="34" fillId="6" borderId="36" xfId="0" applyFont="1" applyFill="1" applyBorder="1" applyAlignment="1" applyProtection="1">
      <alignment horizontal="center" vertical="center" wrapText="1"/>
    </xf>
    <xf numFmtId="0" fontId="34" fillId="6" borderId="28" xfId="0" applyFont="1" applyFill="1" applyBorder="1" applyAlignment="1" applyProtection="1">
      <alignment horizontal="center" vertical="center" wrapText="1"/>
    </xf>
    <xf numFmtId="1" fontId="34" fillId="6" borderId="25" xfId="1" applyNumberFormat="1" applyFont="1" applyFill="1" applyBorder="1" applyAlignment="1" applyProtection="1">
      <alignment horizontal="center" vertical="center" textRotation="90" wrapText="1"/>
    </xf>
    <xf numFmtId="1" fontId="34" fillId="6" borderId="26" xfId="1" applyNumberFormat="1" applyFont="1" applyFill="1" applyBorder="1" applyAlignment="1" applyProtection="1">
      <alignment horizontal="center" vertical="center" textRotation="90" wrapText="1"/>
    </xf>
    <xf numFmtId="0" fontId="34" fillId="6" borderId="25" xfId="0" applyFont="1" applyFill="1" applyBorder="1" applyAlignment="1" applyProtection="1">
      <alignment horizontal="center" vertical="center" wrapText="1"/>
    </xf>
    <xf numFmtId="0" fontId="34" fillId="6" borderId="26" xfId="0" applyFont="1" applyFill="1" applyBorder="1" applyAlignment="1" applyProtection="1">
      <alignment horizontal="center" vertical="center" wrapText="1"/>
    </xf>
    <xf numFmtId="1" fontId="34" fillId="6" borderId="33" xfId="1" applyNumberFormat="1" applyFont="1" applyFill="1" applyBorder="1" applyAlignment="1" applyProtection="1">
      <alignment horizontal="center" vertical="center" textRotation="90" wrapText="1"/>
    </xf>
    <xf numFmtId="0" fontId="34" fillId="6" borderId="33" xfId="0" applyFont="1" applyFill="1" applyBorder="1" applyAlignment="1" applyProtection="1">
      <alignment horizontal="center" vertical="center" wrapText="1"/>
    </xf>
    <xf numFmtId="0" fontId="34" fillId="6" borderId="27" xfId="0" applyFont="1" applyFill="1" applyBorder="1" applyAlignment="1" applyProtection="1">
      <alignment horizontal="center" vertical="center" wrapText="1"/>
    </xf>
    <xf numFmtId="0" fontId="19" fillId="0" borderId="0" xfId="0" applyFont="1" applyBorder="1" applyAlignment="1">
      <alignment horizontal="left" vertical="top" wrapText="1"/>
    </xf>
    <xf numFmtId="0" fontId="3" fillId="0" borderId="0" xfId="0" applyFont="1" applyBorder="1" applyAlignment="1">
      <alignment horizontal="center" vertical="center" wrapText="1"/>
    </xf>
    <xf numFmtId="0" fontId="1" fillId="10" borderId="1" xfId="0" applyFont="1" applyFill="1" applyBorder="1" applyAlignment="1">
      <alignment horizontal="left" vertical="center"/>
    </xf>
    <xf numFmtId="0" fontId="1" fillId="10" borderId="3" xfId="0" applyFont="1" applyFill="1" applyBorder="1" applyAlignment="1">
      <alignment horizontal="left" vertical="center"/>
    </xf>
    <xf numFmtId="0" fontId="1" fillId="10" borderId="2" xfId="0" applyFont="1" applyFill="1" applyBorder="1" applyAlignment="1">
      <alignment horizontal="left" vertical="center"/>
    </xf>
    <xf numFmtId="0" fontId="13" fillId="0" borderId="0" xfId="0" applyFont="1" applyBorder="1" applyAlignment="1">
      <alignment horizontal="center" vertical="center"/>
    </xf>
    <xf numFmtId="0" fontId="17" fillId="0" borderId="0" xfId="0" applyFont="1" applyBorder="1" applyAlignment="1">
      <alignment horizontal="center" vertical="top" wrapText="1"/>
    </xf>
    <xf numFmtId="0" fontId="12" fillId="0" borderId="5" xfId="0" applyFont="1" applyBorder="1" applyAlignment="1">
      <alignment horizontal="center" vertical="center"/>
    </xf>
    <xf numFmtId="0" fontId="0" fillId="0" borderId="0" xfId="0" applyBorder="1" applyAlignment="1">
      <alignment horizontal="center" vertical="center" wrapText="1"/>
    </xf>
    <xf numFmtId="0" fontId="0" fillId="0" borderId="0" xfId="0" applyFont="1" applyBorder="1" applyAlignment="1">
      <alignment horizontal="left" vertical="center"/>
    </xf>
    <xf numFmtId="0" fontId="0" fillId="0" borderId="0" xfId="0" applyFont="1" applyBorder="1" applyAlignment="1">
      <alignment horizontal="left" vertical="top" wrapText="1"/>
    </xf>
    <xf numFmtId="0" fontId="29" fillId="0" borderId="0" xfId="0" applyFont="1" applyBorder="1" applyAlignment="1">
      <alignment horizontal="center" vertical="center"/>
    </xf>
    <xf numFmtId="0" fontId="14" fillId="0" borderId="0" xfId="0" applyFont="1" applyBorder="1" applyAlignment="1">
      <alignment horizontal="left" vertical="top" wrapText="1"/>
    </xf>
  </cellXfs>
  <cellStyles count="3">
    <cellStyle name="Hipervínculo" xfId="1" builtinId="8"/>
    <cellStyle name="Normal" xfId="0" builtinId="0"/>
    <cellStyle name="Normal 2" xfId="2" xr:uid="{00000000-0005-0000-0000-000002000000}"/>
  </cellStyles>
  <dxfs count="0"/>
  <tableStyles count="0" defaultTableStyle="TableStyleMedium2" defaultPivotStyle="PivotStyleLight16"/>
  <colors>
    <mruColors>
      <color rgb="FFFFFFCC"/>
      <color rgb="FFDDEBF7"/>
      <color rgb="FFF0FFF0"/>
      <color rgb="FFDCFFC8"/>
      <color rgb="FFFFFFD9"/>
      <color rgb="FFC8FFFF"/>
      <color rgb="FFEBF0E1"/>
      <color rgb="FF000080"/>
      <color rgb="FF000066"/>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e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jpe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1.png"/><Relationship Id="rId3" Type="http://schemas.openxmlformats.org/officeDocument/2006/relationships/image" Target="../media/image3.png"/><Relationship Id="rId7" Type="http://schemas.openxmlformats.org/officeDocument/2006/relationships/image" Target="../media/image16.png"/><Relationship Id="rId12" Type="http://schemas.openxmlformats.org/officeDocument/2006/relationships/image" Target="../media/image20.png"/><Relationship Id="rId2" Type="http://schemas.openxmlformats.org/officeDocument/2006/relationships/image" Target="../media/image2.png"/><Relationship Id="rId1" Type="http://schemas.openxmlformats.org/officeDocument/2006/relationships/image" Target="../media/image29.png"/><Relationship Id="rId6" Type="http://schemas.openxmlformats.org/officeDocument/2006/relationships/image" Target="../media/image15.png"/><Relationship Id="rId11" Type="http://schemas.openxmlformats.org/officeDocument/2006/relationships/image" Target="../media/image10.png"/><Relationship Id="rId5" Type="http://schemas.openxmlformats.org/officeDocument/2006/relationships/image" Target="../media/image13.jpeg"/><Relationship Id="rId10" Type="http://schemas.openxmlformats.org/officeDocument/2006/relationships/image" Target="../media/image19.png"/><Relationship Id="rId4" Type="http://schemas.openxmlformats.org/officeDocument/2006/relationships/image" Target="../media/image4.emf"/><Relationship Id="rId9" Type="http://schemas.openxmlformats.org/officeDocument/2006/relationships/image" Target="../media/image18.png"/></Relationships>
</file>

<file path=xl/drawings/_rels/drawing3.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1.png"/><Relationship Id="rId3" Type="http://schemas.openxmlformats.org/officeDocument/2006/relationships/image" Target="../media/image3.png"/><Relationship Id="rId7" Type="http://schemas.openxmlformats.org/officeDocument/2006/relationships/image" Target="../media/image15.png"/><Relationship Id="rId12" Type="http://schemas.openxmlformats.org/officeDocument/2006/relationships/image" Target="../media/image29.png"/><Relationship Id="rId2" Type="http://schemas.openxmlformats.org/officeDocument/2006/relationships/image" Target="../media/image4.emf"/><Relationship Id="rId1" Type="http://schemas.openxmlformats.org/officeDocument/2006/relationships/image" Target="../media/image2.png"/><Relationship Id="rId6" Type="http://schemas.openxmlformats.org/officeDocument/2006/relationships/image" Target="../media/image16.png"/><Relationship Id="rId11" Type="http://schemas.openxmlformats.org/officeDocument/2006/relationships/image" Target="../media/image13.jpeg"/><Relationship Id="rId5" Type="http://schemas.openxmlformats.org/officeDocument/2006/relationships/image" Target="../media/image18.png"/><Relationship Id="rId10" Type="http://schemas.openxmlformats.org/officeDocument/2006/relationships/image" Target="../media/image10.png"/><Relationship Id="rId4" Type="http://schemas.openxmlformats.org/officeDocument/2006/relationships/image" Target="../media/image20.png"/><Relationship Id="rId9" Type="http://schemas.openxmlformats.org/officeDocument/2006/relationships/image" Target="../media/image19.pn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2.png"/><Relationship Id="rId1" Type="http://schemas.openxmlformats.org/officeDocument/2006/relationships/image" Target="../media/image29.png"/><Relationship Id="rId6" Type="http://schemas.openxmlformats.org/officeDocument/2006/relationships/image" Target="../media/image31.jpeg"/><Relationship Id="rId11" Type="http://schemas.openxmlformats.org/officeDocument/2006/relationships/image" Target="../media/image10.png"/><Relationship Id="rId5" Type="http://schemas.openxmlformats.org/officeDocument/2006/relationships/image" Target="../media/image4.emf"/><Relationship Id="rId10" Type="http://schemas.openxmlformats.org/officeDocument/2006/relationships/image" Target="../media/image9.png"/><Relationship Id="rId4" Type="http://schemas.openxmlformats.org/officeDocument/2006/relationships/image" Target="../media/image30.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14</xdr:col>
      <xdr:colOff>0</xdr:colOff>
      <xdr:row>14</xdr:row>
      <xdr:rowOff>0</xdr:rowOff>
    </xdr:from>
    <xdr:to>
      <xdr:col>15</xdr:col>
      <xdr:colOff>95250</xdr:colOff>
      <xdr:row>15</xdr:row>
      <xdr:rowOff>120650</xdr:rowOff>
    </xdr:to>
    <xdr:sp macro="" textlink="">
      <xdr:nvSpPr>
        <xdr:cNvPr id="2" name="Text Box 28">
          <a:extLst>
            <a:ext uri="{FF2B5EF4-FFF2-40B4-BE49-F238E27FC236}">
              <a16:creationId xmlns:a16="http://schemas.microsoft.com/office/drawing/2014/main" id="{00000000-0008-0000-0000-000002000000}"/>
            </a:ext>
          </a:extLst>
        </xdr:cNvPr>
        <xdr:cNvSpPr txBox="1"/>
      </xdr:nvSpPr>
      <xdr:spPr>
        <a:xfrm>
          <a:off x="2381250" y="2105025"/>
          <a:ext cx="247650" cy="244475"/>
        </a:xfrm>
        <a:prstGeom prst="rect">
          <a:avLst/>
        </a:prstGeom>
        <a:noFill/>
        <a:ln w="6350">
          <a:noFill/>
        </a:ln>
      </xdr:spPr>
      <xdr:txBody>
        <a:bodyPr rot="0" spcFirstLastPara="0" vert="horz" wrap="square" lIns="0" tIns="45720" rIns="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endParaRPr lang="en-US" sz="1100">
            <a:effectLst/>
            <a:latin typeface="Calibri" panose="020F0502020204030204" pitchFamily="34" charset="0"/>
            <a:ea typeface="Calibri" panose="020F0502020204030204" pitchFamily="34" charset="0"/>
            <a:cs typeface="Vrinda" panose="020B0502040204020203" pitchFamily="34" charset="0"/>
          </a:endParaRPr>
        </a:p>
      </xdr:txBody>
    </xdr:sp>
    <xdr:clientData/>
  </xdr:twoCellAnchor>
  <xdr:twoCellAnchor>
    <xdr:from>
      <xdr:col>58</xdr:col>
      <xdr:colOff>39689</xdr:colOff>
      <xdr:row>113</xdr:row>
      <xdr:rowOff>7946</xdr:rowOff>
    </xdr:from>
    <xdr:to>
      <xdr:col>59</xdr:col>
      <xdr:colOff>117476</xdr:colOff>
      <xdr:row>114</xdr:row>
      <xdr:rowOff>109546</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126539" y="14390696"/>
          <a:ext cx="230187" cy="225425"/>
        </a:xfrm>
        <a:prstGeom prst="ellipse">
          <a:avLst/>
        </a:prstGeom>
        <a:solidFill>
          <a:sysClr val="window" lastClr="FFFFFF"/>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bg2">
                  <a:lumMod val="50000"/>
                </a:schemeClr>
              </a:solidFill>
            </a:rPr>
            <a:t>4</a:t>
          </a:r>
        </a:p>
      </xdr:txBody>
    </xdr:sp>
    <xdr:clientData/>
  </xdr:twoCellAnchor>
  <xdr:twoCellAnchor>
    <xdr:from>
      <xdr:col>58</xdr:col>
      <xdr:colOff>0</xdr:colOff>
      <xdr:row>55</xdr:row>
      <xdr:rowOff>0</xdr:rowOff>
    </xdr:from>
    <xdr:to>
      <xdr:col>59</xdr:col>
      <xdr:colOff>77787</xdr:colOff>
      <xdr:row>56</xdr:row>
      <xdr:rowOff>101600</xdr:rowOff>
    </xdr:to>
    <xdr:sp macro="" textlink="">
      <xdr:nvSpPr>
        <xdr:cNvPr id="4" name="Oval 3">
          <a:extLst>
            <a:ext uri="{FF2B5EF4-FFF2-40B4-BE49-F238E27FC236}">
              <a16:creationId xmlns:a16="http://schemas.microsoft.com/office/drawing/2014/main" id="{00000000-0008-0000-0000-000004000000}"/>
            </a:ext>
          </a:extLst>
        </xdr:cNvPr>
        <xdr:cNvSpPr/>
      </xdr:nvSpPr>
      <xdr:spPr>
        <a:xfrm>
          <a:off x="9086850" y="7181850"/>
          <a:ext cx="230187" cy="225425"/>
        </a:xfrm>
        <a:prstGeom prst="ellipse">
          <a:avLst/>
        </a:prstGeom>
        <a:solidFill>
          <a:sysClr val="window" lastClr="FFFFFF"/>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bg2">
                  <a:lumMod val="50000"/>
                </a:schemeClr>
              </a:solidFill>
            </a:rPr>
            <a:t>2</a:t>
          </a:r>
        </a:p>
      </xdr:txBody>
    </xdr:sp>
    <xdr:clientData/>
  </xdr:twoCellAnchor>
  <xdr:twoCellAnchor>
    <xdr:from>
      <xdr:col>1</xdr:col>
      <xdr:colOff>31752</xdr:colOff>
      <xdr:row>113</xdr:row>
      <xdr:rowOff>7938</xdr:rowOff>
    </xdr:from>
    <xdr:to>
      <xdr:col>2</xdr:col>
      <xdr:colOff>109539</xdr:colOff>
      <xdr:row>114</xdr:row>
      <xdr:rowOff>109538</xdr:rowOff>
    </xdr:to>
    <xdr:sp macro="" textlink="">
      <xdr:nvSpPr>
        <xdr:cNvPr id="5" name="Oval 4">
          <a:extLst>
            <a:ext uri="{FF2B5EF4-FFF2-40B4-BE49-F238E27FC236}">
              <a16:creationId xmlns:a16="http://schemas.microsoft.com/office/drawing/2014/main" id="{00000000-0008-0000-0000-000005000000}"/>
            </a:ext>
          </a:extLst>
        </xdr:cNvPr>
        <xdr:cNvSpPr/>
      </xdr:nvSpPr>
      <xdr:spPr>
        <a:xfrm>
          <a:off x="431802" y="14390688"/>
          <a:ext cx="230187" cy="225425"/>
        </a:xfrm>
        <a:prstGeom prst="ellipse">
          <a:avLst/>
        </a:prstGeom>
        <a:solidFill>
          <a:sysClr val="window" lastClr="FFFFFF"/>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bg2">
                  <a:lumMod val="50000"/>
                </a:schemeClr>
              </a:solidFill>
            </a:rPr>
            <a:t>3</a:t>
          </a:r>
        </a:p>
      </xdr:txBody>
    </xdr:sp>
    <xdr:clientData/>
  </xdr:twoCellAnchor>
  <xdr:twoCellAnchor editAs="oneCell">
    <xdr:from>
      <xdr:col>3</xdr:col>
      <xdr:colOff>47624</xdr:colOff>
      <xdr:row>4</xdr:row>
      <xdr:rowOff>23819</xdr:rowOff>
    </xdr:from>
    <xdr:to>
      <xdr:col>4</xdr:col>
      <xdr:colOff>3491</xdr:colOff>
      <xdr:row>5</xdr:row>
      <xdr:rowOff>52394</xdr:rowOff>
    </xdr:to>
    <xdr:pic>
      <xdr:nvPicPr>
        <xdr:cNvPr id="6" name="Picture 5" descr="C:\Users\OMS 179\Downloads\prs.png">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52474" y="890594"/>
          <a:ext cx="108267" cy="219075"/>
        </a:xfrm>
        <a:prstGeom prst="rect">
          <a:avLst/>
        </a:prstGeom>
        <a:noFill/>
        <a:ln>
          <a:noFill/>
        </a:ln>
      </xdr:spPr>
    </xdr:pic>
    <xdr:clientData/>
  </xdr:twoCellAnchor>
  <xdr:twoCellAnchor editAs="oneCell">
    <xdr:from>
      <xdr:col>8</xdr:col>
      <xdr:colOff>63498</xdr:colOff>
      <xdr:row>4</xdr:row>
      <xdr:rowOff>71437</xdr:rowOff>
    </xdr:from>
    <xdr:to>
      <xdr:col>8</xdr:col>
      <xdr:colOff>150811</xdr:colOff>
      <xdr:row>5</xdr:row>
      <xdr:rowOff>55562</xdr:rowOff>
    </xdr:to>
    <xdr:pic>
      <xdr:nvPicPr>
        <xdr:cNvPr id="7" name="Picture 6" descr="C:\Users\OMS 179\Downloads\crs.png">
          <a:extLst>
            <a:ext uri="{FF2B5EF4-FFF2-40B4-BE49-F238E27FC236}">
              <a16:creationId xmlns:a16="http://schemas.microsoft.com/office/drawing/2014/main" id="{00000000-0008-0000-00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30348" y="938212"/>
          <a:ext cx="87313" cy="174625"/>
        </a:xfrm>
        <a:prstGeom prst="rect">
          <a:avLst/>
        </a:prstGeom>
        <a:noFill/>
        <a:ln>
          <a:noFill/>
        </a:ln>
      </xdr:spPr>
    </xdr:pic>
    <xdr:clientData/>
  </xdr:twoCellAnchor>
  <xdr:twoCellAnchor editAs="oneCell">
    <xdr:from>
      <xdr:col>13</xdr:col>
      <xdr:colOff>63504</xdr:colOff>
      <xdr:row>4</xdr:row>
      <xdr:rowOff>71434</xdr:rowOff>
    </xdr:from>
    <xdr:to>
      <xdr:col>13</xdr:col>
      <xdr:colOff>150816</xdr:colOff>
      <xdr:row>5</xdr:row>
      <xdr:rowOff>55559</xdr:rowOff>
    </xdr:to>
    <xdr:pic>
      <xdr:nvPicPr>
        <xdr:cNvPr id="8" name="Picture 7" descr="C:\Users\OMS 179\Downloads\crs.png">
          <a:extLst>
            <a:ext uri="{FF2B5EF4-FFF2-40B4-BE49-F238E27FC236}">
              <a16:creationId xmlns:a16="http://schemas.microsoft.com/office/drawing/2014/main" id="{00000000-0008-0000-00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92354" y="938209"/>
          <a:ext cx="87312" cy="174625"/>
        </a:xfrm>
        <a:prstGeom prst="rect">
          <a:avLst/>
        </a:prstGeom>
        <a:noFill/>
        <a:ln>
          <a:noFill/>
        </a:ln>
      </xdr:spPr>
    </xdr:pic>
    <xdr:clientData/>
  </xdr:twoCellAnchor>
  <xdr:twoCellAnchor>
    <xdr:from>
      <xdr:col>17</xdr:col>
      <xdr:colOff>79371</xdr:colOff>
      <xdr:row>5</xdr:row>
      <xdr:rowOff>1</xdr:rowOff>
    </xdr:from>
    <xdr:to>
      <xdr:col>19</xdr:col>
      <xdr:colOff>145087</xdr:colOff>
      <xdr:row>6</xdr:row>
      <xdr:rowOff>36038</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2917821" y="990601"/>
          <a:ext cx="370516" cy="159862"/>
          <a:chOff x="2889246" y="611189"/>
          <a:chExt cx="367341" cy="163037"/>
        </a:xfrm>
      </xdr:grpSpPr>
      <xdr:pic>
        <xdr:nvPicPr>
          <xdr:cNvPr id="10" name="Picture 9" descr="C:\Users\OMS 179\Downloads\bap.png">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11" name="Picture 10" descr="C:\Users\OMS 179\Downloads\bap.png">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clientData/>
  </xdr:twoCellAnchor>
  <xdr:twoCellAnchor>
    <xdr:from>
      <xdr:col>22</xdr:col>
      <xdr:colOff>87308</xdr:colOff>
      <xdr:row>4</xdr:row>
      <xdr:rowOff>119062</xdr:rowOff>
    </xdr:from>
    <xdr:to>
      <xdr:col>25</xdr:col>
      <xdr:colOff>2212</xdr:colOff>
      <xdr:row>6</xdr:row>
      <xdr:rowOff>28099</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3687758" y="985837"/>
          <a:ext cx="372104" cy="156687"/>
          <a:chOff x="2889246" y="611189"/>
          <a:chExt cx="367341" cy="163037"/>
        </a:xfrm>
      </xdr:grpSpPr>
      <xdr:pic>
        <xdr:nvPicPr>
          <xdr:cNvPr id="13" name="Picture 12" descr="C:\Users\OMS 179\Downloads\bap.png">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14" name="Picture 13" descr="C:\Users\OMS 179\Downloads\bap.pn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clientData/>
  </xdr:twoCellAnchor>
  <xdr:twoCellAnchor>
    <xdr:from>
      <xdr:col>33</xdr:col>
      <xdr:colOff>71433</xdr:colOff>
      <xdr:row>42</xdr:row>
      <xdr:rowOff>87318</xdr:rowOff>
    </xdr:from>
    <xdr:to>
      <xdr:col>35</xdr:col>
      <xdr:colOff>137149</xdr:colOff>
      <xdr:row>43</xdr:row>
      <xdr:rowOff>123355</xdr:rowOff>
    </xdr:to>
    <xdr:grpSp>
      <xdr:nvGrpSpPr>
        <xdr:cNvPr id="15" name="Group 14">
          <a:extLst>
            <a:ext uri="{FF2B5EF4-FFF2-40B4-BE49-F238E27FC236}">
              <a16:creationId xmlns:a16="http://schemas.microsoft.com/office/drawing/2014/main" id="{00000000-0008-0000-0000-00000F000000}"/>
            </a:ext>
          </a:extLst>
        </xdr:cNvPr>
        <xdr:cNvGrpSpPr>
          <a:grpSpLocks noChangeAspect="1"/>
        </xdr:cNvGrpSpPr>
      </xdr:nvGrpSpPr>
      <xdr:grpSpPr>
        <a:xfrm>
          <a:off x="5348283" y="5659443"/>
          <a:ext cx="370516" cy="159862"/>
          <a:chOff x="2889246" y="611189"/>
          <a:chExt cx="367341" cy="163037"/>
        </a:xfrm>
      </xdr:grpSpPr>
      <xdr:pic>
        <xdr:nvPicPr>
          <xdr:cNvPr id="16" name="Picture 15" descr="C:\Users\OMS 179\Downloads\bap.png">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17" name="Picture 16" descr="C:\Users\OMS 179\Downloads\bap.png">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clientData/>
  </xdr:twoCellAnchor>
  <xdr:twoCellAnchor editAs="oneCell">
    <xdr:from>
      <xdr:col>24</xdr:col>
      <xdr:colOff>7937</xdr:colOff>
      <xdr:row>5</xdr:row>
      <xdr:rowOff>71437</xdr:rowOff>
    </xdr:from>
    <xdr:to>
      <xdr:col>24</xdr:col>
      <xdr:colOff>150813</xdr:colOff>
      <xdr:row>6</xdr:row>
      <xdr:rowOff>4127</xdr:rowOff>
    </xdr:to>
    <xdr:pic>
      <xdr:nvPicPr>
        <xdr:cNvPr id="18" name="Picture 17">
          <a:extLst>
            <a:ext uri="{FF2B5EF4-FFF2-40B4-BE49-F238E27FC236}">
              <a16:creationId xmlns:a16="http://schemas.microsoft.com/office/drawing/2014/main" id="{00000000-0008-0000-0000-000012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913187" y="1062037"/>
          <a:ext cx="142876" cy="56515"/>
        </a:xfrm>
        <a:prstGeom prst="rect">
          <a:avLst/>
        </a:prstGeom>
        <a:noFill/>
        <a:ln>
          <a:noFill/>
        </a:ln>
      </xdr:spPr>
    </xdr:pic>
    <xdr:clientData/>
  </xdr:twoCellAnchor>
  <xdr:twoCellAnchor editAs="oneCell">
    <xdr:from>
      <xdr:col>14</xdr:col>
      <xdr:colOff>9</xdr:colOff>
      <xdr:row>5</xdr:row>
      <xdr:rowOff>71439</xdr:rowOff>
    </xdr:from>
    <xdr:to>
      <xdr:col>15</xdr:col>
      <xdr:colOff>10</xdr:colOff>
      <xdr:row>6</xdr:row>
      <xdr:rowOff>4129</xdr:rowOff>
    </xdr:to>
    <xdr:pic>
      <xdr:nvPicPr>
        <xdr:cNvPr id="19" name="Picture 18">
          <a:extLst>
            <a:ext uri="{FF2B5EF4-FFF2-40B4-BE49-F238E27FC236}">
              <a16:creationId xmlns:a16="http://schemas.microsoft.com/office/drawing/2014/main" id="{00000000-0008-0000-0000-000013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81259" y="1062039"/>
          <a:ext cx="152401" cy="56515"/>
        </a:xfrm>
        <a:prstGeom prst="rect">
          <a:avLst/>
        </a:prstGeom>
        <a:noFill/>
        <a:ln>
          <a:noFill/>
        </a:ln>
      </xdr:spPr>
    </xdr:pic>
    <xdr:clientData/>
  </xdr:twoCellAnchor>
  <xdr:twoCellAnchor>
    <xdr:from>
      <xdr:col>33</xdr:col>
      <xdr:colOff>55563</xdr:colOff>
      <xdr:row>27</xdr:row>
      <xdr:rowOff>71438</xdr:rowOff>
    </xdr:from>
    <xdr:to>
      <xdr:col>36</xdr:col>
      <xdr:colOff>18987</xdr:colOff>
      <xdr:row>29</xdr:row>
      <xdr:rowOff>17366</xdr:rowOff>
    </xdr:to>
    <xdr:pic>
      <xdr:nvPicPr>
        <xdr:cNvPr id="20" name="Picture 19">
          <a:extLst>
            <a:ext uri="{FF2B5EF4-FFF2-40B4-BE49-F238E27FC236}">
              <a16:creationId xmlns:a16="http://schemas.microsoft.com/office/drawing/2014/main" id="{00000000-0008-0000-0000-000014000000}"/>
            </a:ext>
          </a:extLst>
        </xdr:cNvPr>
        <xdr:cNvPicPr preferRelativeResize="0">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2413" y="3786188"/>
          <a:ext cx="420624" cy="193578"/>
        </a:xfrm>
        <a:prstGeom prst="rect">
          <a:avLst/>
        </a:prstGeom>
      </xdr:spPr>
    </xdr:pic>
    <xdr:clientData/>
  </xdr:twoCellAnchor>
  <xdr:twoCellAnchor>
    <xdr:from>
      <xdr:col>34</xdr:col>
      <xdr:colOff>0</xdr:colOff>
      <xdr:row>21</xdr:row>
      <xdr:rowOff>87315</xdr:rowOff>
    </xdr:from>
    <xdr:to>
      <xdr:col>35</xdr:col>
      <xdr:colOff>112776</xdr:colOff>
      <xdr:row>24</xdr:row>
      <xdr:rowOff>72075</xdr:rowOff>
    </xdr:to>
    <xdr:pic>
      <xdr:nvPicPr>
        <xdr:cNvPr id="21" name="Picture 20">
          <a:extLst>
            <a:ext uri="{FF2B5EF4-FFF2-40B4-BE49-F238E27FC236}">
              <a16:creationId xmlns:a16="http://schemas.microsoft.com/office/drawing/2014/main" id="{00000000-0008-0000-0000-000015000000}"/>
            </a:ext>
          </a:extLst>
        </xdr:cNvPr>
        <xdr:cNvPicPr preferRelativeResize="0">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429250" y="3059115"/>
          <a:ext cx="265176" cy="356235"/>
        </a:xfrm>
        <a:prstGeom prst="rect">
          <a:avLst/>
        </a:prstGeom>
      </xdr:spPr>
    </xdr:pic>
    <xdr:clientData/>
  </xdr:twoCellAnchor>
  <xdr:twoCellAnchor>
    <xdr:from>
      <xdr:col>33</xdr:col>
      <xdr:colOff>31752</xdr:colOff>
      <xdr:row>16</xdr:row>
      <xdr:rowOff>71438</xdr:rowOff>
    </xdr:from>
    <xdr:to>
      <xdr:col>36</xdr:col>
      <xdr:colOff>40896</xdr:colOff>
      <xdr:row>19</xdr:row>
      <xdr:rowOff>56198</xdr:rowOff>
    </xdr:to>
    <xdr:pic>
      <xdr:nvPicPr>
        <xdr:cNvPr id="22" name="Picture 21">
          <a:extLst>
            <a:ext uri="{FF2B5EF4-FFF2-40B4-BE49-F238E27FC236}">
              <a16:creationId xmlns:a16="http://schemas.microsoft.com/office/drawing/2014/main" id="{00000000-0008-0000-0000-00001600000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08602" y="2424113"/>
          <a:ext cx="466344" cy="356235"/>
        </a:xfrm>
        <a:prstGeom prst="rect">
          <a:avLst/>
        </a:prstGeom>
      </xdr:spPr>
    </xdr:pic>
    <xdr:clientData/>
  </xdr:twoCellAnchor>
  <xdr:twoCellAnchor>
    <xdr:from>
      <xdr:col>33</xdr:col>
      <xdr:colOff>87314</xdr:colOff>
      <xdr:row>11</xdr:row>
      <xdr:rowOff>87312</xdr:rowOff>
    </xdr:from>
    <xdr:to>
      <xdr:col>36</xdr:col>
      <xdr:colOff>14162</xdr:colOff>
      <xdr:row>14</xdr:row>
      <xdr:rowOff>72072</xdr:rowOff>
    </xdr:to>
    <xdr:pic>
      <xdr:nvPicPr>
        <xdr:cNvPr id="23" name="Picture 22">
          <a:extLst>
            <a:ext uri="{FF2B5EF4-FFF2-40B4-BE49-F238E27FC236}">
              <a16:creationId xmlns:a16="http://schemas.microsoft.com/office/drawing/2014/main" id="{00000000-0008-0000-0000-000017000000}"/>
            </a:ext>
          </a:extLst>
        </xdr:cNvPr>
        <xdr:cNvPicPr preferRelativeResize="0">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364164" y="1820862"/>
          <a:ext cx="384048" cy="356235"/>
        </a:xfrm>
        <a:prstGeom prst="rect">
          <a:avLst/>
        </a:prstGeom>
      </xdr:spPr>
    </xdr:pic>
    <xdr:clientData/>
  </xdr:twoCellAnchor>
  <xdr:twoCellAnchor>
    <xdr:from>
      <xdr:col>33</xdr:col>
      <xdr:colOff>63503</xdr:colOff>
      <xdr:row>36</xdr:row>
      <xdr:rowOff>71437</xdr:rowOff>
    </xdr:from>
    <xdr:to>
      <xdr:col>35</xdr:col>
      <xdr:colOff>151895</xdr:colOff>
      <xdr:row>39</xdr:row>
      <xdr:rowOff>56197</xdr:rowOff>
    </xdr:to>
    <xdr:pic>
      <xdr:nvPicPr>
        <xdr:cNvPr id="24" name="Picture 23">
          <a:extLst>
            <a:ext uri="{FF2B5EF4-FFF2-40B4-BE49-F238E27FC236}">
              <a16:creationId xmlns:a16="http://schemas.microsoft.com/office/drawing/2014/main" id="{00000000-0008-0000-0000-000018000000}"/>
            </a:ext>
          </a:extLst>
        </xdr:cNvPr>
        <xdr:cNvPicPr preferRelativeResize="0">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340353" y="4900612"/>
          <a:ext cx="393192" cy="356235"/>
        </a:xfrm>
        <a:prstGeom prst="rect">
          <a:avLst/>
        </a:prstGeom>
      </xdr:spPr>
    </xdr:pic>
    <xdr:clientData/>
  </xdr:twoCellAnchor>
  <xdr:twoCellAnchor>
    <xdr:from>
      <xdr:col>33</xdr:col>
      <xdr:colOff>55562</xdr:colOff>
      <xdr:row>31</xdr:row>
      <xdr:rowOff>87313</xdr:rowOff>
    </xdr:from>
    <xdr:to>
      <xdr:col>35</xdr:col>
      <xdr:colOff>116522</xdr:colOff>
      <xdr:row>34</xdr:row>
      <xdr:rowOff>72073</xdr:rowOff>
    </xdr:to>
    <xdr:pic>
      <xdr:nvPicPr>
        <xdr:cNvPr id="25" name="Picture 24">
          <a:extLst>
            <a:ext uri="{FF2B5EF4-FFF2-40B4-BE49-F238E27FC236}">
              <a16:creationId xmlns:a16="http://schemas.microsoft.com/office/drawing/2014/main" id="{00000000-0008-0000-0000-000019000000}"/>
            </a:ext>
          </a:extLst>
        </xdr:cNvPr>
        <xdr:cNvPicPr preferRelativeResize="0">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332412" y="4297363"/>
          <a:ext cx="365760" cy="356235"/>
        </a:xfrm>
        <a:prstGeom prst="rect">
          <a:avLst/>
        </a:prstGeom>
      </xdr:spPr>
    </xdr:pic>
    <xdr:clientData/>
  </xdr:twoCellAnchor>
  <xdr:twoCellAnchor>
    <xdr:from>
      <xdr:col>33</xdr:col>
      <xdr:colOff>103188</xdr:colOff>
      <xdr:row>6</xdr:row>
      <xdr:rowOff>63500</xdr:rowOff>
    </xdr:from>
    <xdr:to>
      <xdr:col>36</xdr:col>
      <xdr:colOff>20892</xdr:colOff>
      <xdr:row>9</xdr:row>
      <xdr:rowOff>48260</xdr:rowOff>
    </xdr:to>
    <xdr:pic>
      <xdr:nvPicPr>
        <xdr:cNvPr id="26" name="Picture 25">
          <a:extLst>
            <a:ext uri="{FF2B5EF4-FFF2-40B4-BE49-F238E27FC236}">
              <a16:creationId xmlns:a16="http://schemas.microsoft.com/office/drawing/2014/main" id="{00000000-0008-0000-0000-00001A000000}"/>
            </a:ext>
          </a:extLst>
        </xdr:cNvPr>
        <xdr:cNvPicPr preferRelativeResize="0">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380038" y="1177925"/>
          <a:ext cx="374904" cy="356235"/>
        </a:xfrm>
        <a:prstGeom prst="rect">
          <a:avLst/>
        </a:prstGeom>
      </xdr:spPr>
    </xdr:pic>
    <xdr:clientData/>
  </xdr:twoCellAnchor>
  <xdr:twoCellAnchor>
    <xdr:from>
      <xdr:col>33</xdr:col>
      <xdr:colOff>63500</xdr:colOff>
      <xdr:row>46</xdr:row>
      <xdr:rowOff>87313</xdr:rowOff>
    </xdr:from>
    <xdr:to>
      <xdr:col>35</xdr:col>
      <xdr:colOff>124460</xdr:colOff>
      <xdr:row>49</xdr:row>
      <xdr:rowOff>72073</xdr:rowOff>
    </xdr:to>
    <xdr:pic>
      <xdr:nvPicPr>
        <xdr:cNvPr id="27" name="Picture 26">
          <a:extLst>
            <a:ext uri="{FF2B5EF4-FFF2-40B4-BE49-F238E27FC236}">
              <a16:creationId xmlns:a16="http://schemas.microsoft.com/office/drawing/2014/main" id="{00000000-0008-0000-0000-00001B000000}"/>
            </a:ext>
          </a:extLst>
        </xdr:cNvPr>
        <xdr:cNvPicPr preferRelativeResize="0">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340350" y="6154738"/>
          <a:ext cx="365760" cy="356235"/>
        </a:xfrm>
        <a:prstGeom prst="rect">
          <a:avLst/>
        </a:prstGeom>
      </xdr:spPr>
    </xdr:pic>
    <xdr:clientData/>
  </xdr:twoCellAnchor>
  <xdr:twoCellAnchor>
    <xdr:from>
      <xdr:col>2</xdr:col>
      <xdr:colOff>7821</xdr:colOff>
      <xdr:row>14</xdr:row>
      <xdr:rowOff>20641</xdr:rowOff>
    </xdr:from>
    <xdr:to>
      <xdr:col>25</xdr:col>
      <xdr:colOff>101847</xdr:colOff>
      <xdr:row>43</xdr:row>
      <xdr:rowOff>19050</xdr:rowOff>
    </xdr:to>
    <xdr:grpSp>
      <xdr:nvGrpSpPr>
        <xdr:cNvPr id="28" name="Group 27">
          <a:extLst>
            <a:ext uri="{FF2B5EF4-FFF2-40B4-BE49-F238E27FC236}">
              <a16:creationId xmlns:a16="http://schemas.microsoft.com/office/drawing/2014/main" id="{00000000-0008-0000-0000-00001C000000}"/>
            </a:ext>
          </a:extLst>
        </xdr:cNvPr>
        <xdr:cNvGrpSpPr/>
      </xdr:nvGrpSpPr>
      <xdr:grpSpPr>
        <a:xfrm>
          <a:off x="560271" y="2125666"/>
          <a:ext cx="3599226" cy="3589334"/>
          <a:chOff x="360217" y="1704713"/>
          <a:chExt cx="3970364" cy="3689552"/>
        </a:xfrm>
      </xdr:grpSpPr>
      <xdr:pic>
        <xdr:nvPicPr>
          <xdr:cNvPr id="29" name="Pictur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466218" y="1704713"/>
            <a:ext cx="365760" cy="177714"/>
          </a:xfrm>
          <a:prstGeom prst="rect">
            <a:avLst/>
          </a:prstGeom>
        </xdr:spPr>
      </xdr:pic>
      <xdr:grpSp>
        <xdr:nvGrpSpPr>
          <xdr:cNvPr id="30" name="Group 29">
            <a:extLst>
              <a:ext uri="{FF2B5EF4-FFF2-40B4-BE49-F238E27FC236}">
                <a16:creationId xmlns:a16="http://schemas.microsoft.com/office/drawing/2014/main" id="{00000000-0008-0000-0000-00001E000000}"/>
              </a:ext>
            </a:extLst>
          </xdr:cNvPr>
          <xdr:cNvGrpSpPr/>
        </xdr:nvGrpSpPr>
        <xdr:grpSpPr>
          <a:xfrm>
            <a:off x="360217" y="1915316"/>
            <a:ext cx="3970364" cy="3478949"/>
            <a:chOff x="360217" y="1915316"/>
            <a:chExt cx="3970364" cy="3478949"/>
          </a:xfrm>
        </xdr:grpSpPr>
        <xdr:pic>
          <xdr:nvPicPr>
            <xdr:cNvPr id="31" name="Picture 30" descr="C:\Users\OMS 179\Desktop\tttttt\develop_circle_dash.png">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856485" y="2024063"/>
              <a:ext cx="3017520" cy="3017520"/>
            </a:xfrm>
            <a:prstGeom prst="rect">
              <a:avLst/>
            </a:prstGeom>
            <a:noFill/>
            <a:ln>
              <a:noFill/>
            </a:ln>
          </xdr:spPr>
        </xdr:pic>
        <xdr:sp macro="" textlink="">
          <xdr:nvSpPr>
            <xdr:cNvPr id="32" name="Oval 31">
              <a:extLst>
                <a:ext uri="{FF2B5EF4-FFF2-40B4-BE49-F238E27FC236}">
                  <a16:creationId xmlns:a16="http://schemas.microsoft.com/office/drawing/2014/main" id="{00000000-0008-0000-0000-000020000000}"/>
                </a:ext>
              </a:extLst>
            </xdr:cNvPr>
            <xdr:cNvSpPr/>
          </xdr:nvSpPr>
          <xdr:spPr>
            <a:xfrm>
              <a:off x="944560" y="2119313"/>
              <a:ext cx="2834640" cy="2834640"/>
            </a:xfrm>
            <a:prstGeom prst="ellipse">
              <a:avLst/>
            </a:prstGeom>
            <a:noFill/>
            <a:ln w="666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82058" y="1915316"/>
              <a:ext cx="228600" cy="320040"/>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60217" y="3025517"/>
              <a:ext cx="345113" cy="274320"/>
            </a:xfrm>
            <a:prstGeom prst="rect">
              <a:avLst/>
            </a:prstGeom>
          </xdr:spPr>
        </xdr:pic>
        <xdr:grpSp>
          <xdr:nvGrpSpPr>
            <xdr:cNvPr id="35" name="Group 34">
              <a:extLst>
                <a:ext uri="{FF2B5EF4-FFF2-40B4-BE49-F238E27FC236}">
                  <a16:creationId xmlns:a16="http://schemas.microsoft.com/office/drawing/2014/main" id="{00000000-0008-0000-0000-000023000000}"/>
                </a:ext>
              </a:extLst>
            </xdr:cNvPr>
            <xdr:cNvGrpSpPr>
              <a:grpSpLocks noChangeAspect="1"/>
            </xdr:cNvGrpSpPr>
          </xdr:nvGrpSpPr>
          <xdr:grpSpPr>
            <a:xfrm>
              <a:off x="3721243" y="4556913"/>
              <a:ext cx="274320" cy="121752"/>
              <a:chOff x="2959596" y="493190"/>
              <a:chExt cx="367341" cy="163038"/>
            </a:xfrm>
          </xdr:grpSpPr>
          <xdr:pic>
            <xdr:nvPicPr>
              <xdr:cNvPr id="41" name="Picture 40" descr="C:\Users\OMS 179\Downloads\bap.png">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959596" y="493190"/>
                <a:ext cx="365760" cy="74140"/>
              </a:xfrm>
              <a:prstGeom prst="rect">
                <a:avLst/>
              </a:prstGeom>
              <a:noFill/>
              <a:ln>
                <a:noFill/>
              </a:ln>
            </xdr:spPr>
          </xdr:pic>
          <xdr:pic>
            <xdr:nvPicPr>
              <xdr:cNvPr id="42" name="Picture 41" descr="C:\Users\OMS 179\Downloads\bap.png">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961177" y="582088"/>
                <a:ext cx="365760" cy="74140"/>
              </a:xfrm>
              <a:prstGeom prst="rect">
                <a:avLst/>
              </a:prstGeom>
              <a:noFill/>
              <a:ln>
                <a:noFill/>
              </a:ln>
            </xdr:spPr>
          </xdr:pic>
        </xdr:grpSp>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420061" y="5103023"/>
              <a:ext cx="286117" cy="274320"/>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038752" y="3327925"/>
              <a:ext cx="291829" cy="274320"/>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652837" y="2259545"/>
              <a:ext cx="365760" cy="365760"/>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565400" y="5119945"/>
              <a:ext cx="274320" cy="274320"/>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65150" y="4311651"/>
              <a:ext cx="274320" cy="274320"/>
            </a:xfrm>
            <a:prstGeom prst="rect">
              <a:avLst/>
            </a:prstGeom>
          </xdr:spPr>
        </xdr:pic>
      </xdr:grpSp>
    </xdr:grpSp>
    <xdr:clientData/>
  </xdr:twoCellAnchor>
  <xdr:twoCellAnchor>
    <xdr:from>
      <xdr:col>33</xdr:col>
      <xdr:colOff>62329</xdr:colOff>
      <xdr:row>66</xdr:row>
      <xdr:rowOff>79096</xdr:rowOff>
    </xdr:from>
    <xdr:to>
      <xdr:col>41</xdr:col>
      <xdr:colOff>111057</xdr:colOff>
      <xdr:row>76</xdr:row>
      <xdr:rowOff>84576</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5339179" y="8642071"/>
          <a:ext cx="1267928" cy="1243730"/>
          <a:chOff x="5050196" y="10434131"/>
          <a:chExt cx="1273371" cy="1230123"/>
        </a:xfrm>
      </xdr:grpSpPr>
      <xdr:grpSp>
        <xdr:nvGrpSpPr>
          <xdr:cNvPr id="44" name="Group 43">
            <a:extLst>
              <a:ext uri="{FF2B5EF4-FFF2-40B4-BE49-F238E27FC236}">
                <a16:creationId xmlns:a16="http://schemas.microsoft.com/office/drawing/2014/main" id="{00000000-0008-0000-0000-00002C000000}"/>
              </a:ext>
            </a:extLst>
          </xdr:cNvPr>
          <xdr:cNvGrpSpPr/>
        </xdr:nvGrpSpPr>
        <xdr:grpSpPr>
          <a:xfrm>
            <a:off x="5050196" y="10434131"/>
            <a:ext cx="1273371" cy="1230123"/>
            <a:chOff x="5068491" y="10688796"/>
            <a:chExt cx="1205357" cy="1121874"/>
          </a:xfrm>
        </xdr:grpSpPr>
        <xdr:grpSp>
          <xdr:nvGrpSpPr>
            <xdr:cNvPr id="46" name="Group 45">
              <a:extLst>
                <a:ext uri="{FF2B5EF4-FFF2-40B4-BE49-F238E27FC236}">
                  <a16:creationId xmlns:a16="http://schemas.microsoft.com/office/drawing/2014/main" id="{00000000-0008-0000-0000-00002E000000}"/>
                </a:ext>
              </a:extLst>
            </xdr:cNvPr>
            <xdr:cNvGrpSpPr/>
          </xdr:nvGrpSpPr>
          <xdr:grpSpPr>
            <a:xfrm>
              <a:off x="5197737" y="10688796"/>
              <a:ext cx="940986" cy="1008790"/>
              <a:chOff x="5197737" y="10678944"/>
              <a:chExt cx="940986" cy="1008790"/>
            </a:xfrm>
          </xdr:grpSpPr>
          <xdr:pic>
            <xdr:nvPicPr>
              <xdr:cNvPr id="57" name="Picture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5666837" y="10678944"/>
                <a:ext cx="113537" cy="54164"/>
              </a:xfrm>
              <a:prstGeom prst="rect">
                <a:avLst/>
              </a:prstGeom>
            </xdr:spPr>
          </xdr:pic>
          <xdr:pic>
            <xdr:nvPicPr>
              <xdr:cNvPr id="58" name="Picture 57" descr="C:\Users\OMS 179\Desktop\tttttt\develop_circle_dash.png">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5197737" y="10764112"/>
                <a:ext cx="940986" cy="923622"/>
              </a:xfrm>
              <a:prstGeom prst="rect">
                <a:avLst/>
              </a:prstGeom>
              <a:noFill/>
              <a:ln>
                <a:noFill/>
              </a:ln>
            </xdr:spPr>
          </xdr:pic>
        </xdr:grpSp>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273931" y="10739817"/>
              <a:ext cx="71287" cy="97960"/>
            </a:xfrm>
            <a:prstGeom prst="rect">
              <a:avLst/>
            </a:prstGeom>
          </xdr:spPr>
        </xdr:pic>
        <xdr:pic>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68491" y="11055660"/>
              <a:ext cx="107620" cy="83966"/>
            </a:xfrm>
            <a:prstGeom prst="rect">
              <a:avLst/>
            </a:prstGeom>
          </xdr:spPr>
        </xdr:pic>
        <xdr:grpSp>
          <xdr:nvGrpSpPr>
            <xdr:cNvPr id="49" name="Group 48">
              <a:extLst>
                <a:ext uri="{FF2B5EF4-FFF2-40B4-BE49-F238E27FC236}">
                  <a16:creationId xmlns:a16="http://schemas.microsoft.com/office/drawing/2014/main" id="{00000000-0008-0000-0000-000031000000}"/>
                </a:ext>
              </a:extLst>
            </xdr:cNvPr>
            <xdr:cNvGrpSpPr>
              <a:grpSpLocks noChangeAspect="1"/>
            </xdr:cNvGrpSpPr>
          </xdr:nvGrpSpPr>
          <xdr:grpSpPr>
            <a:xfrm>
              <a:off x="6083831" y="11566355"/>
              <a:ext cx="85544" cy="37266"/>
              <a:chOff x="2889246" y="611189"/>
              <a:chExt cx="367341" cy="163037"/>
            </a:xfrm>
          </xdr:grpSpPr>
          <xdr:pic>
            <xdr:nvPicPr>
              <xdr:cNvPr id="55" name="Picture 54" descr="C:\Users\OMS 179\Downloads\bap.png">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56" name="Picture 55" descr="C:\Users\OMS 179\Downloads\bap.png">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pic>
          <xdr:nvPicPr>
            <xdr:cNvPr id="50" name="Pictur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5395718" y="11697550"/>
              <a:ext cx="89223" cy="83966"/>
            </a:xfrm>
            <a:prstGeom prst="rect">
              <a:avLst/>
            </a:prstGeom>
          </xdr:spPr>
        </xdr:pic>
        <xdr:pic>
          <xdr:nvPicPr>
            <xdr:cNvPr id="51" name="Picture 50">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182843" y="11175194"/>
              <a:ext cx="91005" cy="83966"/>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6078882" y="10830196"/>
              <a:ext cx="114059" cy="111954"/>
            </a:xfrm>
            <a:prstGeom prst="rect">
              <a:avLst/>
            </a:prstGeom>
          </xdr:spPr>
        </xdr:pic>
        <xdr:pic>
          <xdr:nvPicPr>
            <xdr:cNvPr id="53" name="Picture 52">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5739775" y="11726704"/>
              <a:ext cx="85544" cy="83966"/>
            </a:xfrm>
            <a:prstGeom prst="rect">
              <a:avLst/>
            </a:prstGeom>
          </xdr:spPr>
        </xdr:pic>
        <xdr:pic>
          <xdr:nvPicPr>
            <xdr:cNvPr id="54" name="Picture 53">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5116015" y="11464312"/>
              <a:ext cx="85544" cy="83966"/>
            </a:xfrm>
            <a:prstGeom prst="rect">
              <a:avLst/>
            </a:prstGeom>
          </xdr:spPr>
        </xdr:pic>
      </xdr:grpSp>
      <xdr:sp macro="" textlink="">
        <xdr:nvSpPr>
          <xdr:cNvPr id="45" name="Oval 44">
            <a:extLst>
              <a:ext uri="{FF2B5EF4-FFF2-40B4-BE49-F238E27FC236}">
                <a16:creationId xmlns:a16="http://schemas.microsoft.com/office/drawing/2014/main" id="{00000000-0008-0000-0000-00002D000000}"/>
              </a:ext>
            </a:extLst>
          </xdr:cNvPr>
          <xdr:cNvSpPr>
            <a:spLocks noChangeAspect="1"/>
          </xdr:cNvSpPr>
        </xdr:nvSpPr>
        <xdr:spPr>
          <a:xfrm>
            <a:off x="5225143" y="10562545"/>
            <a:ext cx="927162" cy="942294"/>
          </a:xfrm>
          <a:prstGeom prst="ellipse">
            <a:avLst/>
          </a:prstGeom>
          <a:no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33</xdr:col>
      <xdr:colOff>59950</xdr:colOff>
      <xdr:row>84</xdr:row>
      <xdr:rowOff>70762</xdr:rowOff>
    </xdr:from>
    <xdr:to>
      <xdr:col>41</xdr:col>
      <xdr:colOff>108678</xdr:colOff>
      <xdr:row>94</xdr:row>
      <xdr:rowOff>76243</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5336800" y="10862587"/>
          <a:ext cx="1267928" cy="1243731"/>
          <a:chOff x="5050196" y="10434131"/>
          <a:chExt cx="1273371" cy="1230123"/>
        </a:xfrm>
      </xdr:grpSpPr>
      <xdr:grpSp>
        <xdr:nvGrpSpPr>
          <xdr:cNvPr id="60" name="Group 59">
            <a:extLst>
              <a:ext uri="{FF2B5EF4-FFF2-40B4-BE49-F238E27FC236}">
                <a16:creationId xmlns:a16="http://schemas.microsoft.com/office/drawing/2014/main" id="{00000000-0008-0000-0000-00003C000000}"/>
              </a:ext>
            </a:extLst>
          </xdr:cNvPr>
          <xdr:cNvGrpSpPr/>
        </xdr:nvGrpSpPr>
        <xdr:grpSpPr>
          <a:xfrm>
            <a:off x="5050196" y="10434131"/>
            <a:ext cx="1273371" cy="1230123"/>
            <a:chOff x="5068491" y="10688796"/>
            <a:chExt cx="1205357" cy="1121874"/>
          </a:xfrm>
        </xdr:grpSpPr>
        <xdr:grpSp>
          <xdr:nvGrpSpPr>
            <xdr:cNvPr id="62" name="Group 61">
              <a:extLst>
                <a:ext uri="{FF2B5EF4-FFF2-40B4-BE49-F238E27FC236}">
                  <a16:creationId xmlns:a16="http://schemas.microsoft.com/office/drawing/2014/main" id="{00000000-0008-0000-0000-00003E000000}"/>
                </a:ext>
              </a:extLst>
            </xdr:cNvPr>
            <xdr:cNvGrpSpPr/>
          </xdr:nvGrpSpPr>
          <xdr:grpSpPr>
            <a:xfrm>
              <a:off x="5197737" y="10688796"/>
              <a:ext cx="940986" cy="1008790"/>
              <a:chOff x="5197737" y="10678944"/>
              <a:chExt cx="940986" cy="1008790"/>
            </a:xfrm>
          </xdr:grpSpPr>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5666837" y="10678944"/>
                <a:ext cx="113537" cy="54164"/>
              </a:xfrm>
              <a:prstGeom prst="rect">
                <a:avLst/>
              </a:prstGeom>
            </xdr:spPr>
          </xdr:pic>
          <xdr:pic>
            <xdr:nvPicPr>
              <xdr:cNvPr id="74" name="Picture 73" descr="C:\Users\OMS 179\Desktop\tttttt\develop_circle_dash.png">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5197737" y="10764112"/>
                <a:ext cx="940986" cy="923622"/>
              </a:xfrm>
              <a:prstGeom prst="rect">
                <a:avLst/>
              </a:prstGeom>
              <a:noFill/>
              <a:ln>
                <a:noFill/>
              </a:ln>
            </xdr:spPr>
          </xdr:pic>
        </xdr:grpSp>
        <xdr:pic>
          <xdr:nvPicPr>
            <xdr:cNvPr id="63" name="Picture 62">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273931" y="10739817"/>
              <a:ext cx="71287" cy="97960"/>
            </a:xfrm>
            <a:prstGeom prst="rect">
              <a:avLst/>
            </a:prstGeom>
          </xdr:spPr>
        </xdr:pic>
        <xdr:pic>
          <xdr:nvPicPr>
            <xdr:cNvPr id="64" name="Picture 63">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68491" y="11055660"/>
              <a:ext cx="107620" cy="83966"/>
            </a:xfrm>
            <a:prstGeom prst="rect">
              <a:avLst/>
            </a:prstGeom>
          </xdr:spPr>
        </xdr:pic>
        <xdr:grpSp>
          <xdr:nvGrpSpPr>
            <xdr:cNvPr id="65" name="Group 64">
              <a:extLst>
                <a:ext uri="{FF2B5EF4-FFF2-40B4-BE49-F238E27FC236}">
                  <a16:creationId xmlns:a16="http://schemas.microsoft.com/office/drawing/2014/main" id="{00000000-0008-0000-0000-000041000000}"/>
                </a:ext>
              </a:extLst>
            </xdr:cNvPr>
            <xdr:cNvGrpSpPr>
              <a:grpSpLocks noChangeAspect="1"/>
            </xdr:cNvGrpSpPr>
          </xdr:nvGrpSpPr>
          <xdr:grpSpPr>
            <a:xfrm>
              <a:off x="6083831" y="11566355"/>
              <a:ext cx="85544" cy="37266"/>
              <a:chOff x="2889246" y="611189"/>
              <a:chExt cx="367341" cy="163037"/>
            </a:xfrm>
          </xdr:grpSpPr>
          <xdr:pic>
            <xdr:nvPicPr>
              <xdr:cNvPr id="71" name="Picture 70" descr="C:\Users\OMS 179\Downloads\bap.png">
                <a:extLst>
                  <a:ext uri="{FF2B5EF4-FFF2-40B4-BE49-F238E27FC236}">
                    <a16:creationId xmlns:a16="http://schemas.microsoft.com/office/drawing/2014/main" id="{00000000-0008-0000-0000-000047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72" name="Picture 71" descr="C:\Users\OMS 179\Downloads\bap.png">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pic>
          <xdr:nvPicPr>
            <xdr:cNvPr id="66" name="Picture 65">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5395718" y="11697550"/>
              <a:ext cx="89223" cy="83966"/>
            </a:xfrm>
            <a:prstGeom prst="rect">
              <a:avLst/>
            </a:prstGeom>
          </xdr:spPr>
        </xdr:pic>
        <xdr:pic>
          <xdr:nvPicPr>
            <xdr:cNvPr id="67" name="Picture 66">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182843" y="11175194"/>
              <a:ext cx="91005" cy="83966"/>
            </a:xfrm>
            <a:prstGeom prst="rect">
              <a:avLst/>
            </a:prstGeom>
          </xdr:spPr>
        </xdr:pic>
        <xdr:pic>
          <xdr:nvPicPr>
            <xdr:cNvPr id="68" name="Picture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6078882" y="10830196"/>
              <a:ext cx="114059" cy="111954"/>
            </a:xfrm>
            <a:prstGeom prst="rect">
              <a:avLst/>
            </a:prstGeom>
          </xdr:spPr>
        </xdr:pic>
        <xdr:pic>
          <xdr:nvPicPr>
            <xdr:cNvPr id="69" name="Picture 68">
              <a:extLst>
                <a:ext uri="{FF2B5EF4-FFF2-40B4-BE49-F238E27FC236}">
                  <a16:creationId xmlns:a16="http://schemas.microsoft.com/office/drawing/2014/main" id="{00000000-0008-0000-0000-000045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5739775" y="11726704"/>
              <a:ext cx="85544" cy="83966"/>
            </a:xfrm>
            <a:prstGeom prst="rect">
              <a:avLst/>
            </a:prstGeom>
          </xdr:spPr>
        </xdr:pic>
        <xdr:pic>
          <xdr:nvPicPr>
            <xdr:cNvPr id="70" name="Picture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5116015" y="11464312"/>
              <a:ext cx="85544" cy="83966"/>
            </a:xfrm>
            <a:prstGeom prst="rect">
              <a:avLst/>
            </a:prstGeom>
          </xdr:spPr>
        </xdr:pic>
      </xdr:grpSp>
      <xdr:sp macro="" textlink="">
        <xdr:nvSpPr>
          <xdr:cNvPr id="61" name="Oval 60">
            <a:extLst>
              <a:ext uri="{FF2B5EF4-FFF2-40B4-BE49-F238E27FC236}">
                <a16:creationId xmlns:a16="http://schemas.microsoft.com/office/drawing/2014/main" id="{00000000-0008-0000-0000-00003D000000}"/>
              </a:ext>
            </a:extLst>
          </xdr:cNvPr>
          <xdr:cNvSpPr>
            <a:spLocks noChangeAspect="1"/>
          </xdr:cNvSpPr>
        </xdr:nvSpPr>
        <xdr:spPr>
          <a:xfrm>
            <a:off x="5225143" y="10562545"/>
            <a:ext cx="927162" cy="942294"/>
          </a:xfrm>
          <a:prstGeom prst="ellipse">
            <a:avLst/>
          </a:prstGeom>
          <a:no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33</xdr:col>
      <xdr:colOff>51616</xdr:colOff>
      <xdr:row>102</xdr:row>
      <xdr:rowOff>74335</xdr:rowOff>
    </xdr:from>
    <xdr:to>
      <xdr:col>41</xdr:col>
      <xdr:colOff>100344</xdr:colOff>
      <xdr:row>112</xdr:row>
      <xdr:rowOff>79816</xdr:rowOff>
    </xdr:to>
    <xdr:grpSp>
      <xdr:nvGrpSpPr>
        <xdr:cNvPr id="75" name="Group 74">
          <a:extLst>
            <a:ext uri="{FF2B5EF4-FFF2-40B4-BE49-F238E27FC236}">
              <a16:creationId xmlns:a16="http://schemas.microsoft.com/office/drawing/2014/main" id="{00000000-0008-0000-0000-00004B000000}"/>
            </a:ext>
          </a:extLst>
        </xdr:cNvPr>
        <xdr:cNvGrpSpPr/>
      </xdr:nvGrpSpPr>
      <xdr:grpSpPr>
        <a:xfrm>
          <a:off x="5328466" y="13095010"/>
          <a:ext cx="1267928" cy="1243731"/>
          <a:chOff x="5050196" y="10434131"/>
          <a:chExt cx="1273371" cy="1230123"/>
        </a:xfrm>
      </xdr:grpSpPr>
      <xdr:grpSp>
        <xdr:nvGrpSpPr>
          <xdr:cNvPr id="76" name="Group 75">
            <a:extLst>
              <a:ext uri="{FF2B5EF4-FFF2-40B4-BE49-F238E27FC236}">
                <a16:creationId xmlns:a16="http://schemas.microsoft.com/office/drawing/2014/main" id="{00000000-0008-0000-0000-00004C000000}"/>
              </a:ext>
            </a:extLst>
          </xdr:cNvPr>
          <xdr:cNvGrpSpPr/>
        </xdr:nvGrpSpPr>
        <xdr:grpSpPr>
          <a:xfrm>
            <a:off x="5050196" y="10434131"/>
            <a:ext cx="1273371" cy="1230123"/>
            <a:chOff x="5068491" y="10688796"/>
            <a:chExt cx="1205357" cy="1121874"/>
          </a:xfrm>
        </xdr:grpSpPr>
        <xdr:grpSp>
          <xdr:nvGrpSpPr>
            <xdr:cNvPr id="78" name="Group 77">
              <a:extLst>
                <a:ext uri="{FF2B5EF4-FFF2-40B4-BE49-F238E27FC236}">
                  <a16:creationId xmlns:a16="http://schemas.microsoft.com/office/drawing/2014/main" id="{00000000-0008-0000-0000-00004E000000}"/>
                </a:ext>
              </a:extLst>
            </xdr:cNvPr>
            <xdr:cNvGrpSpPr/>
          </xdr:nvGrpSpPr>
          <xdr:grpSpPr>
            <a:xfrm>
              <a:off x="5197737" y="10688796"/>
              <a:ext cx="940986" cy="1008790"/>
              <a:chOff x="5197737" y="10678944"/>
              <a:chExt cx="940986" cy="1008790"/>
            </a:xfrm>
          </xdr:grpSpPr>
          <xdr:pic>
            <xdr:nvPicPr>
              <xdr:cNvPr id="89" name="Picture 88">
                <a:extLst>
                  <a:ext uri="{FF2B5EF4-FFF2-40B4-BE49-F238E27FC236}">
                    <a16:creationId xmlns:a16="http://schemas.microsoft.com/office/drawing/2014/main" id="{00000000-0008-0000-0000-000059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5666837" y="10678944"/>
                <a:ext cx="113537" cy="54164"/>
              </a:xfrm>
              <a:prstGeom prst="rect">
                <a:avLst/>
              </a:prstGeom>
            </xdr:spPr>
          </xdr:pic>
          <xdr:pic>
            <xdr:nvPicPr>
              <xdr:cNvPr id="90" name="Picture 89" descr="C:\Users\OMS 179\Desktop\tttttt\develop_circle_dash.png">
                <a:extLst>
                  <a:ext uri="{FF2B5EF4-FFF2-40B4-BE49-F238E27FC236}">
                    <a16:creationId xmlns:a16="http://schemas.microsoft.com/office/drawing/2014/main" id="{00000000-0008-0000-0000-00005A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5197737" y="10764112"/>
                <a:ext cx="940986" cy="923622"/>
              </a:xfrm>
              <a:prstGeom prst="rect">
                <a:avLst/>
              </a:prstGeom>
              <a:noFill/>
              <a:ln>
                <a:noFill/>
              </a:ln>
            </xdr:spPr>
          </xdr:pic>
        </xdr:grpSp>
        <xdr:pic>
          <xdr:nvPicPr>
            <xdr:cNvPr id="79" name="Picture 78">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273931" y="10739817"/>
              <a:ext cx="71287" cy="97960"/>
            </a:xfrm>
            <a:prstGeom prst="rect">
              <a:avLst/>
            </a:prstGeom>
          </xdr:spPr>
        </xdr:pic>
        <xdr:pic>
          <xdr:nvPicPr>
            <xdr:cNvPr id="80" name="Picture 79">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68491" y="11055660"/>
              <a:ext cx="107620" cy="83966"/>
            </a:xfrm>
            <a:prstGeom prst="rect">
              <a:avLst/>
            </a:prstGeom>
          </xdr:spPr>
        </xdr:pic>
        <xdr:grpSp>
          <xdr:nvGrpSpPr>
            <xdr:cNvPr id="81" name="Group 80">
              <a:extLst>
                <a:ext uri="{FF2B5EF4-FFF2-40B4-BE49-F238E27FC236}">
                  <a16:creationId xmlns:a16="http://schemas.microsoft.com/office/drawing/2014/main" id="{00000000-0008-0000-0000-000051000000}"/>
                </a:ext>
              </a:extLst>
            </xdr:cNvPr>
            <xdr:cNvGrpSpPr>
              <a:grpSpLocks noChangeAspect="1"/>
            </xdr:cNvGrpSpPr>
          </xdr:nvGrpSpPr>
          <xdr:grpSpPr>
            <a:xfrm>
              <a:off x="6083831" y="11566355"/>
              <a:ext cx="85544" cy="37266"/>
              <a:chOff x="2889246" y="611189"/>
              <a:chExt cx="367341" cy="163037"/>
            </a:xfrm>
          </xdr:grpSpPr>
          <xdr:pic>
            <xdr:nvPicPr>
              <xdr:cNvPr id="87" name="Picture 86" descr="C:\Users\OMS 179\Downloads\bap.png">
                <a:extLst>
                  <a:ext uri="{FF2B5EF4-FFF2-40B4-BE49-F238E27FC236}">
                    <a16:creationId xmlns:a16="http://schemas.microsoft.com/office/drawing/2014/main" id="{00000000-0008-0000-0000-000057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88" name="Picture 87" descr="C:\Users\OMS 179\Downloads\bap.png">
                <a:extLst>
                  <a:ext uri="{FF2B5EF4-FFF2-40B4-BE49-F238E27FC236}">
                    <a16:creationId xmlns:a16="http://schemas.microsoft.com/office/drawing/2014/main" id="{00000000-0008-0000-0000-000058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pic>
          <xdr:nvPicPr>
            <xdr:cNvPr id="82" name="Picture 81">
              <a:extLst>
                <a:ext uri="{FF2B5EF4-FFF2-40B4-BE49-F238E27FC236}">
                  <a16:creationId xmlns:a16="http://schemas.microsoft.com/office/drawing/2014/main" id="{00000000-0008-0000-0000-000052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5395718" y="11697550"/>
              <a:ext cx="89223" cy="83966"/>
            </a:xfrm>
            <a:prstGeom prst="rect">
              <a:avLst/>
            </a:prstGeom>
          </xdr:spPr>
        </xdr:pic>
        <xdr:pic>
          <xdr:nvPicPr>
            <xdr:cNvPr id="83" name="Picture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182843" y="11175194"/>
              <a:ext cx="91005" cy="83966"/>
            </a:xfrm>
            <a:prstGeom prst="rect">
              <a:avLst/>
            </a:prstGeom>
          </xdr:spPr>
        </xdr:pic>
        <xdr:pic>
          <xdr:nvPicPr>
            <xdr:cNvPr id="84" name="Picture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6078882" y="10830196"/>
              <a:ext cx="114059" cy="111954"/>
            </a:xfrm>
            <a:prstGeom prst="rect">
              <a:avLst/>
            </a:prstGeom>
          </xdr:spPr>
        </xdr:pic>
        <xdr:pic>
          <xdr:nvPicPr>
            <xdr:cNvPr id="85" name="Picture 84">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5739775" y="11726704"/>
              <a:ext cx="85544" cy="83966"/>
            </a:xfrm>
            <a:prstGeom prst="rect">
              <a:avLst/>
            </a:prstGeom>
          </xdr:spPr>
        </xdr:pic>
        <xdr:pic>
          <xdr:nvPicPr>
            <xdr:cNvPr id="86" name="Picture 85">
              <a:extLst>
                <a:ext uri="{FF2B5EF4-FFF2-40B4-BE49-F238E27FC236}">
                  <a16:creationId xmlns:a16="http://schemas.microsoft.com/office/drawing/2014/main" id="{00000000-0008-0000-0000-000056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5116015" y="11464312"/>
              <a:ext cx="85544" cy="83966"/>
            </a:xfrm>
            <a:prstGeom prst="rect">
              <a:avLst/>
            </a:prstGeom>
          </xdr:spPr>
        </xdr:pic>
      </xdr:grpSp>
      <xdr:sp macro="" textlink="">
        <xdr:nvSpPr>
          <xdr:cNvPr id="77" name="Oval 76">
            <a:extLst>
              <a:ext uri="{FF2B5EF4-FFF2-40B4-BE49-F238E27FC236}">
                <a16:creationId xmlns:a16="http://schemas.microsoft.com/office/drawing/2014/main" id="{00000000-0008-0000-0000-00004D000000}"/>
              </a:ext>
            </a:extLst>
          </xdr:cNvPr>
          <xdr:cNvSpPr>
            <a:spLocks noChangeAspect="1"/>
          </xdr:cNvSpPr>
        </xdr:nvSpPr>
        <xdr:spPr>
          <a:xfrm>
            <a:off x="5225143" y="10562545"/>
            <a:ext cx="927162" cy="942294"/>
          </a:xfrm>
          <a:prstGeom prst="ellipse">
            <a:avLst/>
          </a:prstGeom>
          <a:no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54</xdr:col>
      <xdr:colOff>9524</xdr:colOff>
      <xdr:row>0</xdr:row>
      <xdr:rowOff>28575</xdr:rowOff>
    </xdr:from>
    <xdr:to>
      <xdr:col>57</xdr:col>
      <xdr:colOff>146684</xdr:colOff>
      <xdr:row>1</xdr:row>
      <xdr:rowOff>158115</xdr:rowOff>
    </xdr:to>
    <xdr:sp macro="[0]!Save_Excel_As_File_PDF_1" textlink="">
      <xdr:nvSpPr>
        <xdr:cNvPr id="91" name="Frame 90">
          <a:extLst>
            <a:ext uri="{FF2B5EF4-FFF2-40B4-BE49-F238E27FC236}">
              <a16:creationId xmlns:a16="http://schemas.microsoft.com/office/drawing/2014/main" id="{00000000-0008-0000-0000-00005B000000}"/>
            </a:ext>
          </a:extLst>
        </xdr:cNvPr>
        <xdr:cNvSpPr/>
      </xdr:nvSpPr>
      <xdr:spPr>
        <a:xfrm>
          <a:off x="8486774" y="28575"/>
          <a:ext cx="594360" cy="320040"/>
        </a:xfrm>
        <a:prstGeom prst="frame">
          <a:avLst/>
        </a:prstGeom>
        <a:solidFill>
          <a:schemeClr val="accent1">
            <a:lumMod val="60000"/>
            <a:lumOff val="40000"/>
          </a:schemeClr>
        </a:solidFill>
        <a:ln w="6350">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a:solidFill>
                <a:srgbClr val="FF0000"/>
              </a:solidFill>
            </a:rPr>
            <a:t>PDF</a:t>
          </a:r>
        </a:p>
      </xdr:txBody>
    </xdr:sp>
    <xdr:clientData/>
  </xdr:twoCellAnchor>
  <xdr:twoCellAnchor>
    <xdr:from>
      <xdr:col>60</xdr:col>
      <xdr:colOff>0</xdr:colOff>
      <xdr:row>0</xdr:row>
      <xdr:rowOff>28575</xdr:rowOff>
    </xdr:from>
    <xdr:to>
      <xdr:col>60</xdr:col>
      <xdr:colOff>594360</xdr:colOff>
      <xdr:row>1</xdr:row>
      <xdr:rowOff>158115</xdr:rowOff>
    </xdr:to>
    <xdr:sp macro="[0]!Save_Excel_As_File_PDF_List" textlink="">
      <xdr:nvSpPr>
        <xdr:cNvPr id="92" name="Frame 91">
          <a:extLst>
            <a:ext uri="{FF2B5EF4-FFF2-40B4-BE49-F238E27FC236}">
              <a16:creationId xmlns:a16="http://schemas.microsoft.com/office/drawing/2014/main" id="{00000000-0008-0000-0000-00005C000000}"/>
            </a:ext>
          </a:extLst>
        </xdr:cNvPr>
        <xdr:cNvSpPr/>
      </xdr:nvSpPr>
      <xdr:spPr>
        <a:xfrm>
          <a:off x="9391650" y="28575"/>
          <a:ext cx="594360" cy="320040"/>
        </a:xfrm>
        <a:prstGeom prst="frame">
          <a:avLst/>
        </a:prstGeom>
        <a:solidFill>
          <a:schemeClr val="accent1">
            <a:lumMod val="60000"/>
            <a:lumOff val="40000"/>
          </a:schemeClr>
        </a:solidFill>
        <a:ln w="6350">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a:solidFill>
                <a:srgbClr val="FF0000"/>
              </a:solidFill>
            </a:rPr>
            <a:t>LIST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44516</xdr:colOff>
      <xdr:row>17</xdr:row>
      <xdr:rowOff>27662</xdr:rowOff>
    </xdr:from>
    <xdr:to>
      <xdr:col>22</xdr:col>
      <xdr:colOff>106020</xdr:colOff>
      <xdr:row>38</xdr:row>
      <xdr:rowOff>61952</xdr:rowOff>
    </xdr:to>
    <xdr:sp macro="[0]!Image_Large_in_Click" textlink="">
      <xdr:nvSpPr>
        <xdr:cNvPr id="10" name="Large_in">
          <a:extLst>
            <a:ext uri="{FF2B5EF4-FFF2-40B4-BE49-F238E27FC236}">
              <a16:creationId xmlns:a16="http://schemas.microsoft.com/office/drawing/2014/main" id="{00000000-0008-0000-0100-00000A000000}"/>
            </a:ext>
          </a:extLst>
        </xdr:cNvPr>
        <xdr:cNvSpPr/>
      </xdr:nvSpPr>
      <xdr:spPr>
        <a:xfrm>
          <a:off x="1044641" y="2293251"/>
          <a:ext cx="2606040" cy="2606040"/>
        </a:xfrm>
        <a:prstGeom prst="ellipse">
          <a:avLst/>
        </a:prstGeom>
        <a:noFill/>
        <a:ln w="1905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0</xdr:colOff>
      <xdr:row>14</xdr:row>
      <xdr:rowOff>0</xdr:rowOff>
    </xdr:from>
    <xdr:to>
      <xdr:col>15</xdr:col>
      <xdr:colOff>95250</xdr:colOff>
      <xdr:row>15</xdr:row>
      <xdr:rowOff>120650</xdr:rowOff>
    </xdr:to>
    <xdr:sp macro="" textlink="">
      <xdr:nvSpPr>
        <xdr:cNvPr id="9" name="Text Box 28">
          <a:extLst>
            <a:ext uri="{FF2B5EF4-FFF2-40B4-BE49-F238E27FC236}">
              <a16:creationId xmlns:a16="http://schemas.microsoft.com/office/drawing/2014/main" id="{00000000-0008-0000-0100-000009000000}"/>
            </a:ext>
          </a:extLst>
        </xdr:cNvPr>
        <xdr:cNvSpPr txBox="1"/>
      </xdr:nvSpPr>
      <xdr:spPr>
        <a:xfrm>
          <a:off x="6096000" y="1333500"/>
          <a:ext cx="247650" cy="311150"/>
        </a:xfrm>
        <a:prstGeom prst="rect">
          <a:avLst/>
        </a:prstGeom>
        <a:noFill/>
        <a:ln w="6350">
          <a:noFill/>
        </a:ln>
      </xdr:spPr>
      <xdr:txBody>
        <a:bodyPr rot="0" spcFirstLastPara="0" vert="horz" wrap="square" lIns="0" tIns="45720" rIns="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endParaRPr lang="en-US" sz="1100">
            <a:effectLst/>
            <a:latin typeface="Calibri" panose="020F0502020204030204" pitchFamily="34" charset="0"/>
            <a:ea typeface="Calibri" panose="020F0502020204030204" pitchFamily="34" charset="0"/>
            <a:cs typeface="Vrinda" panose="020B0502040204020203" pitchFamily="34" charset="0"/>
          </a:endParaRPr>
        </a:p>
      </xdr:txBody>
    </xdr:sp>
    <xdr:clientData/>
  </xdr:twoCellAnchor>
  <xdr:twoCellAnchor>
    <xdr:from>
      <xdr:col>38</xdr:col>
      <xdr:colOff>523875</xdr:colOff>
      <xdr:row>19</xdr:row>
      <xdr:rowOff>57150</xdr:rowOff>
    </xdr:from>
    <xdr:to>
      <xdr:col>40</xdr:col>
      <xdr:colOff>0</xdr:colOff>
      <xdr:row>23</xdr:row>
      <xdr:rowOff>28575</xdr:rowOff>
    </xdr:to>
    <xdr:sp macro="" textlink="">
      <xdr:nvSpPr>
        <xdr:cNvPr id="1117" name="Text Box 113">
          <a:extLst>
            <a:ext uri="{FF2B5EF4-FFF2-40B4-BE49-F238E27FC236}">
              <a16:creationId xmlns:a16="http://schemas.microsoft.com/office/drawing/2014/main" id="{00000000-0008-0000-0100-00005D040000}"/>
            </a:ext>
          </a:extLst>
        </xdr:cNvPr>
        <xdr:cNvSpPr txBox="1">
          <a:spLocks noChangeArrowheads="1"/>
        </xdr:cNvSpPr>
      </xdr:nvSpPr>
      <xdr:spPr bwMode="auto">
        <a:xfrm>
          <a:off x="13935075" y="2057400"/>
          <a:ext cx="695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39</xdr:col>
      <xdr:colOff>323850</xdr:colOff>
      <xdr:row>16</xdr:row>
      <xdr:rowOff>9525</xdr:rowOff>
    </xdr:from>
    <xdr:to>
      <xdr:col>40</xdr:col>
      <xdr:colOff>323850</xdr:colOff>
      <xdr:row>19</xdr:row>
      <xdr:rowOff>66675</xdr:rowOff>
    </xdr:to>
    <xdr:sp macro="" textlink="">
      <xdr:nvSpPr>
        <xdr:cNvPr id="1116" name="Text Box 5">
          <a:extLst>
            <a:ext uri="{FF2B5EF4-FFF2-40B4-BE49-F238E27FC236}">
              <a16:creationId xmlns:a16="http://schemas.microsoft.com/office/drawing/2014/main" id="{00000000-0008-0000-0100-00005C040000}"/>
            </a:ext>
          </a:extLst>
        </xdr:cNvPr>
        <xdr:cNvSpPr txBox="1">
          <a:spLocks noChangeArrowheads="1"/>
        </xdr:cNvSpPr>
      </xdr:nvSpPr>
      <xdr:spPr bwMode="auto">
        <a:xfrm>
          <a:off x="10382250" y="2219325"/>
          <a:ext cx="60960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41</xdr:col>
      <xdr:colOff>76200</xdr:colOff>
      <xdr:row>19</xdr:row>
      <xdr:rowOff>57150</xdr:rowOff>
    </xdr:from>
    <xdr:to>
      <xdr:col>42</xdr:col>
      <xdr:colOff>257175</xdr:colOff>
      <xdr:row>24</xdr:row>
      <xdr:rowOff>47625</xdr:rowOff>
    </xdr:to>
    <xdr:sp macro="" textlink="">
      <xdr:nvSpPr>
        <xdr:cNvPr id="1115" name="Text Box 110">
          <a:extLst>
            <a:ext uri="{FF2B5EF4-FFF2-40B4-BE49-F238E27FC236}">
              <a16:creationId xmlns:a16="http://schemas.microsoft.com/office/drawing/2014/main" id="{00000000-0008-0000-0100-00005B040000}"/>
            </a:ext>
          </a:extLst>
        </xdr:cNvPr>
        <xdr:cNvSpPr txBox="1">
          <a:spLocks noChangeArrowheads="1"/>
        </xdr:cNvSpPr>
      </xdr:nvSpPr>
      <xdr:spPr bwMode="auto">
        <a:xfrm>
          <a:off x="15316200" y="2057400"/>
          <a:ext cx="7905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76200</xdr:colOff>
      <xdr:row>18</xdr:row>
      <xdr:rowOff>38100</xdr:rowOff>
    </xdr:from>
    <xdr:to>
      <xdr:col>38</xdr:col>
      <xdr:colOff>0</xdr:colOff>
      <xdr:row>22</xdr:row>
      <xdr:rowOff>104775</xdr:rowOff>
    </xdr:to>
    <xdr:sp macro="" textlink="">
      <xdr:nvSpPr>
        <xdr:cNvPr id="1114" name="Text Box 7">
          <a:extLst>
            <a:ext uri="{FF2B5EF4-FFF2-40B4-BE49-F238E27FC236}">
              <a16:creationId xmlns:a16="http://schemas.microsoft.com/office/drawing/2014/main" id="{00000000-0008-0000-0100-00005A040000}"/>
            </a:ext>
          </a:extLst>
        </xdr:cNvPr>
        <xdr:cNvSpPr txBox="1">
          <a:spLocks noChangeArrowheads="1"/>
        </xdr:cNvSpPr>
      </xdr:nvSpPr>
      <xdr:spPr bwMode="auto">
        <a:xfrm>
          <a:off x="13430250" y="2447925"/>
          <a:ext cx="5334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38</xdr:col>
      <xdr:colOff>285750</xdr:colOff>
      <xdr:row>22</xdr:row>
      <xdr:rowOff>76200</xdr:rowOff>
    </xdr:from>
    <xdr:to>
      <xdr:col>39</xdr:col>
      <xdr:colOff>342900</xdr:colOff>
      <xdr:row>28</xdr:row>
      <xdr:rowOff>28575</xdr:rowOff>
    </xdr:to>
    <xdr:sp macro="" textlink="">
      <xdr:nvSpPr>
        <xdr:cNvPr id="1113" name="Text Box 109">
          <a:extLst>
            <a:ext uri="{FF2B5EF4-FFF2-40B4-BE49-F238E27FC236}">
              <a16:creationId xmlns:a16="http://schemas.microsoft.com/office/drawing/2014/main" id="{00000000-0008-0000-0100-000059040000}"/>
            </a:ext>
          </a:extLst>
        </xdr:cNvPr>
        <xdr:cNvSpPr txBox="1">
          <a:spLocks noChangeArrowheads="1"/>
        </xdr:cNvSpPr>
      </xdr:nvSpPr>
      <xdr:spPr bwMode="auto">
        <a:xfrm>
          <a:off x="9734550" y="3028950"/>
          <a:ext cx="66675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40</xdr:col>
      <xdr:colOff>76200</xdr:colOff>
      <xdr:row>22</xdr:row>
      <xdr:rowOff>114300</xdr:rowOff>
    </xdr:from>
    <xdr:to>
      <xdr:col>41</xdr:col>
      <xdr:colOff>257175</xdr:colOff>
      <xdr:row>27</xdr:row>
      <xdr:rowOff>104775</xdr:rowOff>
    </xdr:to>
    <xdr:sp macro="" textlink="">
      <xdr:nvSpPr>
        <xdr:cNvPr id="1112" name="Text Box 3">
          <a:extLst>
            <a:ext uri="{FF2B5EF4-FFF2-40B4-BE49-F238E27FC236}">
              <a16:creationId xmlns:a16="http://schemas.microsoft.com/office/drawing/2014/main" id="{00000000-0008-0000-0100-000058040000}"/>
            </a:ext>
          </a:extLst>
        </xdr:cNvPr>
        <xdr:cNvSpPr txBox="1">
          <a:spLocks noChangeArrowheads="1"/>
        </xdr:cNvSpPr>
      </xdr:nvSpPr>
      <xdr:spPr bwMode="auto">
        <a:xfrm>
          <a:off x="14706600" y="2486025"/>
          <a:ext cx="7905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1111" name="Text Box 9">
          <a:extLst>
            <a:ext uri="{FF2B5EF4-FFF2-40B4-BE49-F238E27FC236}">
              <a16:creationId xmlns:a16="http://schemas.microsoft.com/office/drawing/2014/main" id="{00000000-0008-0000-0100-000057040000}"/>
            </a:ext>
          </a:extLst>
        </xdr:cNvPr>
        <xdr:cNvSpPr txBox="1">
          <a:spLocks noChangeArrowheads="1"/>
        </xdr:cNvSpPr>
      </xdr:nvSpPr>
      <xdr:spPr bwMode="auto">
        <a:xfrm>
          <a:off x="12192000" y="2819400"/>
          <a:ext cx="609600"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38</xdr:col>
      <xdr:colOff>428625</xdr:colOff>
      <xdr:row>27</xdr:row>
      <xdr:rowOff>38100</xdr:rowOff>
    </xdr:from>
    <xdr:to>
      <xdr:col>40</xdr:col>
      <xdr:colOff>200025</xdr:colOff>
      <xdr:row>33</xdr:row>
      <xdr:rowOff>76200</xdr:rowOff>
    </xdr:to>
    <xdr:sp macro="" textlink="">
      <xdr:nvSpPr>
        <xdr:cNvPr id="1110" name="Text Box 120">
          <a:extLst>
            <a:ext uri="{FF2B5EF4-FFF2-40B4-BE49-F238E27FC236}">
              <a16:creationId xmlns:a16="http://schemas.microsoft.com/office/drawing/2014/main" id="{00000000-0008-0000-0100-000056040000}"/>
            </a:ext>
          </a:extLst>
        </xdr:cNvPr>
        <xdr:cNvSpPr txBox="1">
          <a:spLocks noChangeArrowheads="1"/>
        </xdr:cNvSpPr>
      </xdr:nvSpPr>
      <xdr:spPr bwMode="auto">
        <a:xfrm>
          <a:off x="13839825" y="3028950"/>
          <a:ext cx="9906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40</xdr:col>
      <xdr:colOff>371475</xdr:colOff>
      <xdr:row>27</xdr:row>
      <xdr:rowOff>95250</xdr:rowOff>
    </xdr:from>
    <xdr:to>
      <xdr:col>41</xdr:col>
      <xdr:colOff>552450</xdr:colOff>
      <xdr:row>33</xdr:row>
      <xdr:rowOff>76200</xdr:rowOff>
    </xdr:to>
    <xdr:sp macro="" textlink="">
      <xdr:nvSpPr>
        <xdr:cNvPr id="1109" name="Text Box 124">
          <a:extLst>
            <a:ext uri="{FF2B5EF4-FFF2-40B4-BE49-F238E27FC236}">
              <a16:creationId xmlns:a16="http://schemas.microsoft.com/office/drawing/2014/main" id="{00000000-0008-0000-0100-000055040000}"/>
            </a:ext>
          </a:extLst>
        </xdr:cNvPr>
        <xdr:cNvSpPr txBox="1">
          <a:spLocks noChangeArrowheads="1"/>
        </xdr:cNvSpPr>
      </xdr:nvSpPr>
      <xdr:spPr bwMode="auto">
        <a:xfrm>
          <a:off x="15001875" y="3086100"/>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85725</xdr:colOff>
      <xdr:row>28</xdr:row>
      <xdr:rowOff>47625</xdr:rowOff>
    </xdr:from>
    <xdr:to>
      <xdr:col>38</xdr:col>
      <xdr:colOff>266700</xdr:colOff>
      <xdr:row>34</xdr:row>
      <xdr:rowOff>28575</xdr:rowOff>
    </xdr:to>
    <xdr:sp macro="" textlink="">
      <xdr:nvSpPr>
        <xdr:cNvPr id="1108" name="Text Box 111">
          <a:extLst>
            <a:ext uri="{FF2B5EF4-FFF2-40B4-BE49-F238E27FC236}">
              <a16:creationId xmlns:a16="http://schemas.microsoft.com/office/drawing/2014/main" id="{00000000-0008-0000-0100-000054040000}"/>
            </a:ext>
          </a:extLst>
        </xdr:cNvPr>
        <xdr:cNvSpPr txBox="1">
          <a:spLocks noChangeArrowheads="1"/>
        </xdr:cNvSpPr>
      </xdr:nvSpPr>
      <xdr:spPr bwMode="auto">
        <a:xfrm>
          <a:off x="10258425" y="3743325"/>
          <a:ext cx="2952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41</xdr:col>
      <xdr:colOff>542925</xdr:colOff>
      <xdr:row>27</xdr:row>
      <xdr:rowOff>104775</xdr:rowOff>
    </xdr:from>
    <xdr:to>
      <xdr:col>42</xdr:col>
      <xdr:colOff>533400</xdr:colOff>
      <xdr:row>32</xdr:row>
      <xdr:rowOff>19050</xdr:rowOff>
    </xdr:to>
    <xdr:sp macro="" textlink="">
      <xdr:nvSpPr>
        <xdr:cNvPr id="1107" name="Text Box 19">
          <a:extLst>
            <a:ext uri="{FF2B5EF4-FFF2-40B4-BE49-F238E27FC236}">
              <a16:creationId xmlns:a16="http://schemas.microsoft.com/office/drawing/2014/main" id="{00000000-0008-0000-0100-000053040000}"/>
            </a:ext>
          </a:extLst>
        </xdr:cNvPr>
        <xdr:cNvSpPr txBox="1">
          <a:spLocks noChangeArrowheads="1"/>
        </xdr:cNvSpPr>
      </xdr:nvSpPr>
      <xdr:spPr bwMode="auto">
        <a:xfrm>
          <a:off x="15782925" y="3095625"/>
          <a:ext cx="6000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457200</xdr:colOff>
      <xdr:row>33</xdr:row>
      <xdr:rowOff>85725</xdr:rowOff>
    </xdr:from>
    <xdr:to>
      <xdr:col>39</xdr:col>
      <xdr:colOff>28575</xdr:colOff>
      <xdr:row>39</xdr:row>
      <xdr:rowOff>66675</xdr:rowOff>
    </xdr:to>
    <xdr:sp macro="" textlink="">
      <xdr:nvSpPr>
        <xdr:cNvPr id="1106" name="Text Box 112">
          <a:extLst>
            <a:ext uri="{FF2B5EF4-FFF2-40B4-BE49-F238E27FC236}">
              <a16:creationId xmlns:a16="http://schemas.microsoft.com/office/drawing/2014/main" id="{00000000-0008-0000-0100-000052040000}"/>
            </a:ext>
          </a:extLst>
        </xdr:cNvPr>
        <xdr:cNvSpPr txBox="1">
          <a:spLocks noChangeArrowheads="1"/>
        </xdr:cNvSpPr>
      </xdr:nvSpPr>
      <xdr:spPr bwMode="auto">
        <a:xfrm>
          <a:off x="13258800" y="3819525"/>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40</xdr:col>
      <xdr:colOff>142875</xdr:colOff>
      <xdr:row>33</xdr:row>
      <xdr:rowOff>85725</xdr:rowOff>
    </xdr:from>
    <xdr:to>
      <xdr:col>41</xdr:col>
      <xdr:colOff>323850</xdr:colOff>
      <xdr:row>39</xdr:row>
      <xdr:rowOff>66675</xdr:rowOff>
    </xdr:to>
    <xdr:sp macro="" textlink="">
      <xdr:nvSpPr>
        <xdr:cNvPr id="1105" name="Text Box 121">
          <a:extLst>
            <a:ext uri="{FF2B5EF4-FFF2-40B4-BE49-F238E27FC236}">
              <a16:creationId xmlns:a16="http://schemas.microsoft.com/office/drawing/2014/main" id="{00000000-0008-0000-0100-000051040000}"/>
            </a:ext>
          </a:extLst>
        </xdr:cNvPr>
        <xdr:cNvSpPr txBox="1">
          <a:spLocks noChangeArrowheads="1"/>
        </xdr:cNvSpPr>
      </xdr:nvSpPr>
      <xdr:spPr bwMode="auto">
        <a:xfrm>
          <a:off x="14773275" y="3819525"/>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133350</xdr:colOff>
      <xdr:row>34</xdr:row>
      <xdr:rowOff>85725</xdr:rowOff>
    </xdr:from>
    <xdr:to>
      <xdr:col>38</xdr:col>
      <xdr:colOff>9525</xdr:colOff>
      <xdr:row>40</xdr:row>
      <xdr:rowOff>66675</xdr:rowOff>
    </xdr:to>
    <xdr:sp macro="" textlink="">
      <xdr:nvSpPr>
        <xdr:cNvPr id="1104" name="Text Box 11">
          <a:extLst>
            <a:ext uri="{FF2B5EF4-FFF2-40B4-BE49-F238E27FC236}">
              <a16:creationId xmlns:a16="http://schemas.microsoft.com/office/drawing/2014/main" id="{00000000-0008-0000-0100-000050040000}"/>
            </a:ext>
          </a:extLst>
        </xdr:cNvPr>
        <xdr:cNvSpPr txBox="1">
          <a:spLocks noChangeArrowheads="1"/>
        </xdr:cNvSpPr>
      </xdr:nvSpPr>
      <xdr:spPr bwMode="auto">
        <a:xfrm>
          <a:off x="9118600" y="4625975"/>
          <a:ext cx="1379008"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41</xdr:col>
      <xdr:colOff>295275</xdr:colOff>
      <xdr:row>36</xdr:row>
      <xdr:rowOff>47625</xdr:rowOff>
    </xdr:from>
    <xdr:to>
      <xdr:col>42</xdr:col>
      <xdr:colOff>476250</xdr:colOff>
      <xdr:row>42</xdr:row>
      <xdr:rowOff>28575</xdr:rowOff>
    </xdr:to>
    <xdr:sp macro="" textlink="">
      <xdr:nvSpPr>
        <xdr:cNvPr id="1103" name="Text Box 17">
          <a:extLst>
            <a:ext uri="{FF2B5EF4-FFF2-40B4-BE49-F238E27FC236}">
              <a16:creationId xmlns:a16="http://schemas.microsoft.com/office/drawing/2014/main" id="{00000000-0008-0000-0100-00004F040000}"/>
            </a:ext>
          </a:extLst>
        </xdr:cNvPr>
        <xdr:cNvSpPr txBox="1">
          <a:spLocks noChangeArrowheads="1"/>
        </xdr:cNvSpPr>
      </xdr:nvSpPr>
      <xdr:spPr bwMode="auto">
        <a:xfrm>
          <a:off x="15535275" y="4152900"/>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39</xdr:col>
      <xdr:colOff>9525</xdr:colOff>
      <xdr:row>37</xdr:row>
      <xdr:rowOff>9525</xdr:rowOff>
    </xdr:from>
    <xdr:to>
      <xdr:col>40</xdr:col>
      <xdr:colOff>190500</xdr:colOff>
      <xdr:row>42</xdr:row>
      <xdr:rowOff>114300</xdr:rowOff>
    </xdr:to>
    <xdr:sp macro="" textlink="">
      <xdr:nvSpPr>
        <xdr:cNvPr id="1102" name="Text Box 22">
          <a:extLst>
            <a:ext uri="{FF2B5EF4-FFF2-40B4-BE49-F238E27FC236}">
              <a16:creationId xmlns:a16="http://schemas.microsoft.com/office/drawing/2014/main" id="{00000000-0008-0000-0100-00004E040000}"/>
            </a:ext>
          </a:extLst>
        </xdr:cNvPr>
        <xdr:cNvSpPr txBox="1">
          <a:spLocks noChangeArrowheads="1"/>
        </xdr:cNvSpPr>
      </xdr:nvSpPr>
      <xdr:spPr bwMode="auto">
        <a:xfrm>
          <a:off x="14030325" y="4238625"/>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523875</xdr:colOff>
      <xdr:row>41</xdr:row>
      <xdr:rowOff>47625</xdr:rowOff>
    </xdr:from>
    <xdr:to>
      <xdr:col>38</xdr:col>
      <xdr:colOff>447675</xdr:colOff>
      <xdr:row>45</xdr:row>
      <xdr:rowOff>47625</xdr:rowOff>
    </xdr:to>
    <xdr:sp macro="" textlink="">
      <xdr:nvSpPr>
        <xdr:cNvPr id="1101" name="Text Box 14">
          <a:extLst>
            <a:ext uri="{FF2B5EF4-FFF2-40B4-BE49-F238E27FC236}">
              <a16:creationId xmlns:a16="http://schemas.microsoft.com/office/drawing/2014/main" id="{00000000-0008-0000-0100-00004D040000}"/>
            </a:ext>
          </a:extLst>
        </xdr:cNvPr>
        <xdr:cNvSpPr txBox="1">
          <a:spLocks noChangeArrowheads="1"/>
        </xdr:cNvSpPr>
      </xdr:nvSpPr>
      <xdr:spPr bwMode="auto">
        <a:xfrm>
          <a:off x="13325475" y="4772025"/>
          <a:ext cx="53340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39</xdr:col>
      <xdr:colOff>523875</xdr:colOff>
      <xdr:row>42</xdr:row>
      <xdr:rowOff>66675</xdr:rowOff>
    </xdr:from>
    <xdr:to>
      <xdr:col>41</xdr:col>
      <xdr:colOff>95250</xdr:colOff>
      <xdr:row>48</xdr:row>
      <xdr:rowOff>47625</xdr:rowOff>
    </xdr:to>
    <xdr:sp macro="" textlink="">
      <xdr:nvSpPr>
        <xdr:cNvPr id="1100" name="Text Box 107">
          <a:extLst>
            <a:ext uri="{FF2B5EF4-FFF2-40B4-BE49-F238E27FC236}">
              <a16:creationId xmlns:a16="http://schemas.microsoft.com/office/drawing/2014/main" id="{00000000-0008-0000-0100-00004C040000}"/>
            </a:ext>
          </a:extLst>
        </xdr:cNvPr>
        <xdr:cNvSpPr txBox="1">
          <a:spLocks noChangeArrowheads="1"/>
        </xdr:cNvSpPr>
      </xdr:nvSpPr>
      <xdr:spPr bwMode="auto">
        <a:xfrm>
          <a:off x="14544675" y="4914900"/>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xdr:col>
      <xdr:colOff>47624</xdr:colOff>
      <xdr:row>4</xdr:row>
      <xdr:rowOff>23819</xdr:rowOff>
    </xdr:from>
    <xdr:to>
      <xdr:col>4</xdr:col>
      <xdr:colOff>108266</xdr:colOff>
      <xdr:row>7</xdr:row>
      <xdr:rowOff>4769</xdr:rowOff>
    </xdr:to>
    <xdr:pic>
      <xdr:nvPicPr>
        <xdr:cNvPr id="152" name="Picture 151" descr="C:\Users\OMS 179\Downloads\prs.png">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6124" y="508007"/>
          <a:ext cx="211455" cy="361950"/>
        </a:xfrm>
        <a:prstGeom prst="rect">
          <a:avLst/>
        </a:prstGeom>
        <a:noFill/>
        <a:ln>
          <a:noFill/>
        </a:ln>
      </xdr:spPr>
    </xdr:pic>
    <xdr:clientData/>
  </xdr:twoCellAnchor>
  <xdr:twoCellAnchor>
    <xdr:from>
      <xdr:col>8</xdr:col>
      <xdr:colOff>63498</xdr:colOff>
      <xdr:row>4</xdr:row>
      <xdr:rowOff>71437</xdr:rowOff>
    </xdr:from>
    <xdr:to>
      <xdr:col>9</xdr:col>
      <xdr:colOff>93661</xdr:colOff>
      <xdr:row>6</xdr:row>
      <xdr:rowOff>74612</xdr:rowOff>
    </xdr:to>
    <xdr:pic>
      <xdr:nvPicPr>
        <xdr:cNvPr id="153" name="Picture 152" descr="C:\Users\OMS 179\Downloads\crs.png">
          <a:extLst>
            <a:ext uri="{FF2B5EF4-FFF2-40B4-BE49-F238E27FC236}">
              <a16:creationId xmlns:a16="http://schemas.microsoft.com/office/drawing/2014/main" id="{00000000-0008-0000-0100-00009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16061" y="555625"/>
          <a:ext cx="180975" cy="257175"/>
        </a:xfrm>
        <a:prstGeom prst="rect">
          <a:avLst/>
        </a:prstGeom>
        <a:noFill/>
        <a:ln>
          <a:noFill/>
        </a:ln>
      </xdr:spPr>
    </xdr:pic>
    <xdr:clientData/>
  </xdr:twoCellAnchor>
  <xdr:twoCellAnchor>
    <xdr:from>
      <xdr:col>17</xdr:col>
      <xdr:colOff>107946</xdr:colOff>
      <xdr:row>4</xdr:row>
      <xdr:rowOff>114301</xdr:rowOff>
    </xdr:from>
    <xdr:to>
      <xdr:col>20</xdr:col>
      <xdr:colOff>21262</xdr:colOff>
      <xdr:row>6</xdr:row>
      <xdr:rowOff>26513</xdr:rowOff>
    </xdr:to>
    <xdr:grpSp>
      <xdr:nvGrpSpPr>
        <xdr:cNvPr id="3" name="Group 2">
          <a:extLst>
            <a:ext uri="{FF2B5EF4-FFF2-40B4-BE49-F238E27FC236}">
              <a16:creationId xmlns:a16="http://schemas.microsoft.com/office/drawing/2014/main" id="{00000000-0008-0000-0100-000003000000}"/>
            </a:ext>
          </a:extLst>
        </xdr:cNvPr>
        <xdr:cNvGrpSpPr>
          <a:grpSpLocks noChangeAspect="1"/>
        </xdr:cNvGrpSpPr>
      </xdr:nvGrpSpPr>
      <xdr:grpSpPr>
        <a:xfrm>
          <a:off x="2595029" y="844551"/>
          <a:ext cx="357816" cy="166212"/>
          <a:chOff x="2889246" y="611189"/>
          <a:chExt cx="367341" cy="163037"/>
        </a:xfrm>
      </xdr:grpSpPr>
      <xdr:pic>
        <xdr:nvPicPr>
          <xdr:cNvPr id="156" name="Picture 155" descr="C:\Users\OMS 179\Downloads\bap.png">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157" name="Picture 156" descr="C:\Users\OMS 179\Downloads\bap.png">
            <a:extLst>
              <a:ext uri="{FF2B5EF4-FFF2-40B4-BE49-F238E27FC236}">
                <a16:creationId xmlns:a16="http://schemas.microsoft.com/office/drawing/2014/main" id="{00000000-0008-0000-0100-00009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clientData/>
  </xdr:twoCellAnchor>
  <xdr:twoCellAnchor>
    <xdr:from>
      <xdr:col>22</xdr:col>
      <xdr:colOff>87308</xdr:colOff>
      <xdr:row>4</xdr:row>
      <xdr:rowOff>119062</xdr:rowOff>
    </xdr:from>
    <xdr:to>
      <xdr:col>25</xdr:col>
      <xdr:colOff>65088</xdr:colOff>
      <xdr:row>6</xdr:row>
      <xdr:rowOff>70802</xdr:rowOff>
    </xdr:to>
    <xdr:grpSp>
      <xdr:nvGrpSpPr>
        <xdr:cNvPr id="4" name="Group 3">
          <a:extLst>
            <a:ext uri="{FF2B5EF4-FFF2-40B4-BE49-F238E27FC236}">
              <a16:creationId xmlns:a16="http://schemas.microsoft.com/office/drawing/2014/main" id="{00000000-0008-0000-0100-000004000000}"/>
            </a:ext>
          </a:extLst>
        </xdr:cNvPr>
        <xdr:cNvGrpSpPr>
          <a:grpSpLocks noChangeAspect="1"/>
        </xdr:cNvGrpSpPr>
      </xdr:nvGrpSpPr>
      <xdr:grpSpPr>
        <a:xfrm>
          <a:off x="3315225" y="849312"/>
          <a:ext cx="422280" cy="205740"/>
          <a:chOff x="3402008" y="614362"/>
          <a:chExt cx="434980" cy="199390"/>
        </a:xfrm>
      </xdr:grpSpPr>
      <xdr:grpSp>
        <xdr:nvGrpSpPr>
          <xdr:cNvPr id="158" name="Group 157">
            <a:extLst>
              <a:ext uri="{FF2B5EF4-FFF2-40B4-BE49-F238E27FC236}">
                <a16:creationId xmlns:a16="http://schemas.microsoft.com/office/drawing/2014/main" id="{00000000-0008-0000-0100-00009E000000}"/>
              </a:ext>
            </a:extLst>
          </xdr:cNvPr>
          <xdr:cNvGrpSpPr/>
        </xdr:nvGrpSpPr>
        <xdr:grpSpPr>
          <a:xfrm>
            <a:off x="3402008" y="614362"/>
            <a:ext cx="372104" cy="156687"/>
            <a:chOff x="2889246" y="611189"/>
            <a:chExt cx="367341" cy="163037"/>
          </a:xfrm>
        </xdr:grpSpPr>
        <xdr:pic>
          <xdr:nvPicPr>
            <xdr:cNvPr id="159" name="Picture 158" descr="C:\Users\OMS 179\Downloads\bap.png">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160" name="Picture 159" descr="C:\Users\OMS 179\Downloads\bap.png">
              <a:extLst>
                <a:ext uri="{FF2B5EF4-FFF2-40B4-BE49-F238E27FC236}">
                  <a16:creationId xmlns:a16="http://schemas.microsoft.com/office/drawing/2014/main" id="{00000000-0008-0000-0100-0000A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pic>
        <xdr:nvPicPr>
          <xdr:cNvPr id="164" name="Picture 163">
            <a:extLst>
              <a:ext uri="{FF2B5EF4-FFF2-40B4-BE49-F238E27FC236}">
                <a16:creationId xmlns:a16="http://schemas.microsoft.com/office/drawing/2014/main" id="{00000000-0008-0000-0100-0000A4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627437" y="690562"/>
            <a:ext cx="209551" cy="123190"/>
          </a:xfrm>
          <a:prstGeom prst="rect">
            <a:avLst/>
          </a:prstGeom>
          <a:noFill/>
          <a:ln>
            <a:noFill/>
          </a:ln>
        </xdr:spPr>
      </xdr:pic>
    </xdr:grpSp>
    <xdr:clientData/>
  </xdr:twoCellAnchor>
  <xdr:twoCellAnchor>
    <xdr:from>
      <xdr:col>13</xdr:col>
      <xdr:colOff>63504</xdr:colOff>
      <xdr:row>4</xdr:row>
      <xdr:rowOff>71434</xdr:rowOff>
    </xdr:from>
    <xdr:to>
      <xdr:col>15</xdr:col>
      <xdr:colOff>57160</xdr:colOff>
      <xdr:row>6</xdr:row>
      <xdr:rowOff>74609</xdr:rowOff>
    </xdr:to>
    <xdr:grpSp>
      <xdr:nvGrpSpPr>
        <xdr:cNvPr id="2" name="Group 1">
          <a:extLst>
            <a:ext uri="{FF2B5EF4-FFF2-40B4-BE49-F238E27FC236}">
              <a16:creationId xmlns:a16="http://schemas.microsoft.com/office/drawing/2014/main" id="{00000000-0008-0000-0100-000002000000}"/>
            </a:ext>
          </a:extLst>
        </xdr:cNvPr>
        <xdr:cNvGrpSpPr>
          <a:grpSpLocks noChangeAspect="1"/>
        </xdr:cNvGrpSpPr>
      </xdr:nvGrpSpPr>
      <xdr:grpSpPr>
        <a:xfrm>
          <a:off x="1957921" y="801684"/>
          <a:ext cx="289989" cy="257175"/>
          <a:chOff x="2006604" y="566734"/>
          <a:chExt cx="298456" cy="250825"/>
        </a:xfrm>
      </xdr:grpSpPr>
      <xdr:pic>
        <xdr:nvPicPr>
          <xdr:cNvPr id="155" name="Picture 154" descr="C:\Users\OMS 179\Downloads\crs.png">
            <a:extLst>
              <a:ext uri="{FF2B5EF4-FFF2-40B4-BE49-F238E27FC236}">
                <a16:creationId xmlns:a16="http://schemas.microsoft.com/office/drawing/2014/main" id="{00000000-0008-0000-0100-00009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6604" y="566734"/>
            <a:ext cx="182562" cy="250825"/>
          </a:xfrm>
          <a:prstGeom prst="rect">
            <a:avLst/>
          </a:prstGeom>
          <a:noFill/>
          <a:ln>
            <a:noFill/>
          </a:ln>
        </xdr:spPr>
      </xdr:pic>
      <xdr:pic>
        <xdr:nvPicPr>
          <xdr:cNvPr id="165" name="Picture 164">
            <a:extLst>
              <a:ext uri="{FF2B5EF4-FFF2-40B4-BE49-F238E27FC236}">
                <a16:creationId xmlns:a16="http://schemas.microsoft.com/office/drawing/2014/main" id="{00000000-0008-0000-0100-0000A5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95509" y="690564"/>
            <a:ext cx="209551" cy="123190"/>
          </a:xfrm>
          <a:prstGeom prst="rect">
            <a:avLst/>
          </a:prstGeom>
          <a:noFill/>
          <a:ln>
            <a:noFill/>
          </a:ln>
        </xdr:spPr>
      </xdr:pic>
    </xdr:grpSp>
    <xdr:clientData/>
  </xdr:twoCellAnchor>
  <xdr:twoCellAnchor>
    <xdr:from>
      <xdr:col>15</xdr:col>
      <xdr:colOff>96407</xdr:colOff>
      <xdr:row>14</xdr:row>
      <xdr:rowOff>60105</xdr:rowOff>
    </xdr:from>
    <xdr:to>
      <xdr:col>17</xdr:col>
      <xdr:colOff>125418</xdr:colOff>
      <xdr:row>15</xdr:row>
      <xdr:rowOff>108581</xdr:rowOff>
    </xdr:to>
    <xdr:pic>
      <xdr:nvPicPr>
        <xdr:cNvPr id="154" name="Picture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44307" y="1793655"/>
          <a:ext cx="333811" cy="172301"/>
        </a:xfrm>
        <a:prstGeom prst="rect">
          <a:avLst/>
        </a:prstGeom>
      </xdr:spPr>
    </xdr:pic>
    <xdr:clientData/>
  </xdr:twoCellAnchor>
  <xdr:twoCellAnchor>
    <xdr:from>
      <xdr:col>6</xdr:col>
      <xdr:colOff>123564</xdr:colOff>
      <xdr:row>15</xdr:row>
      <xdr:rowOff>111428</xdr:rowOff>
    </xdr:from>
    <xdr:to>
      <xdr:col>8</xdr:col>
      <xdr:colOff>27736</xdr:colOff>
      <xdr:row>18</xdr:row>
      <xdr:rowOff>51878</xdr:rowOff>
    </xdr:to>
    <xdr:pic>
      <xdr:nvPicPr>
        <xdr:cNvPr id="149" name="Picture 148">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73368" y="2132089"/>
          <a:ext cx="203529" cy="307843"/>
        </a:xfrm>
        <a:prstGeom prst="rect">
          <a:avLst/>
        </a:prstGeom>
      </xdr:spPr>
    </xdr:pic>
    <xdr:clientData/>
  </xdr:twoCellAnchor>
  <xdr:twoCellAnchor>
    <xdr:from>
      <xdr:col>2</xdr:col>
      <xdr:colOff>54084</xdr:colOff>
      <xdr:row>23</xdr:row>
      <xdr:rowOff>76635</xdr:rowOff>
    </xdr:from>
    <xdr:to>
      <xdr:col>4</xdr:col>
      <xdr:colOff>61991</xdr:colOff>
      <xdr:row>25</xdr:row>
      <xdr:rowOff>95572</xdr:rowOff>
    </xdr:to>
    <xdr:pic>
      <xdr:nvPicPr>
        <xdr:cNvPr id="167" name="Picture 166">
          <a:extLst>
            <a:ext uri="{FF2B5EF4-FFF2-40B4-BE49-F238E27FC236}">
              <a16:creationId xmlns:a16="http://schemas.microsoft.com/office/drawing/2014/main" id="{00000000-0008-0000-0100-0000A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05173" y="3077010"/>
          <a:ext cx="307264" cy="263866"/>
        </a:xfrm>
        <a:prstGeom prst="rect">
          <a:avLst/>
        </a:prstGeom>
      </xdr:spPr>
    </xdr:pic>
    <xdr:clientData/>
  </xdr:twoCellAnchor>
  <xdr:twoCellAnchor>
    <xdr:from>
      <xdr:col>21</xdr:col>
      <xdr:colOff>69440</xdr:colOff>
      <xdr:row>36</xdr:row>
      <xdr:rowOff>89480</xdr:rowOff>
    </xdr:from>
    <xdr:to>
      <xdr:col>23</xdr:col>
      <xdr:colOff>14318</xdr:colOff>
      <xdr:row>37</xdr:row>
      <xdr:rowOff>84127</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3149190" y="4883730"/>
          <a:ext cx="241211" cy="121647"/>
          <a:chOff x="3492837" y="4711906"/>
          <a:chExt cx="247437" cy="117912"/>
        </a:xfrm>
      </xdr:grpSpPr>
      <xdr:pic>
        <xdr:nvPicPr>
          <xdr:cNvPr id="168" name="Picture 167" descr="C:\Users\OMS 179\Downloads\bap.png">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492837" y="4711906"/>
            <a:ext cx="246362" cy="53315"/>
          </a:xfrm>
          <a:prstGeom prst="rect">
            <a:avLst/>
          </a:prstGeom>
          <a:noFill/>
          <a:ln>
            <a:noFill/>
          </a:ln>
        </xdr:spPr>
      </xdr:pic>
      <xdr:pic>
        <xdr:nvPicPr>
          <xdr:cNvPr id="169" name="Picture 168" descr="C:\Users\OMS 179\Downloads\bap.png">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493912" y="4775943"/>
            <a:ext cx="246362" cy="53875"/>
          </a:xfrm>
          <a:prstGeom prst="rect">
            <a:avLst/>
          </a:prstGeom>
          <a:noFill/>
          <a:ln>
            <a:noFill/>
          </a:ln>
        </xdr:spPr>
      </xdr:pic>
    </xdr:grpSp>
    <xdr:clientData/>
  </xdr:twoCellAnchor>
  <xdr:twoCellAnchor>
    <xdr:from>
      <xdr:col>8</xdr:col>
      <xdr:colOff>63052</xdr:colOff>
      <xdr:row>39</xdr:row>
      <xdr:rowOff>59528</xdr:rowOff>
    </xdr:from>
    <xdr:to>
      <xdr:col>10</xdr:col>
      <xdr:colOff>18434</xdr:colOff>
      <xdr:row>41</xdr:row>
      <xdr:rowOff>78466</xdr:rowOff>
    </xdr:to>
    <xdr:pic>
      <xdr:nvPicPr>
        <xdr:cNvPr id="170" name="Picture 169">
          <a:extLst>
            <a:ext uri="{FF2B5EF4-FFF2-40B4-BE49-F238E27FC236}">
              <a16:creationId xmlns:a16="http://schemas.microsoft.com/office/drawing/2014/main" id="{00000000-0008-0000-0100-0000A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512213" y="5019332"/>
          <a:ext cx="254739" cy="263866"/>
        </a:xfrm>
        <a:prstGeom prst="rect">
          <a:avLst/>
        </a:prstGeom>
      </xdr:spPr>
    </xdr:pic>
    <xdr:clientData/>
  </xdr:twoCellAnchor>
  <xdr:twoCellAnchor>
    <xdr:from>
      <xdr:col>24</xdr:col>
      <xdr:colOff>71988</xdr:colOff>
      <xdr:row>26</xdr:row>
      <xdr:rowOff>91688</xdr:rowOff>
    </xdr:from>
    <xdr:to>
      <xdr:col>26</xdr:col>
      <xdr:colOff>32456</xdr:colOff>
      <xdr:row>28</xdr:row>
      <xdr:rowOff>110626</xdr:rowOff>
    </xdr:to>
    <xdr:pic>
      <xdr:nvPicPr>
        <xdr:cNvPr id="171" name="Picture 170">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916006" y="3459456"/>
          <a:ext cx="259825" cy="263866"/>
        </a:xfrm>
        <a:prstGeom prst="rect">
          <a:avLst/>
        </a:prstGeom>
      </xdr:spPr>
    </xdr:pic>
    <xdr:clientData/>
  </xdr:twoCellAnchor>
  <xdr:twoCellAnchor>
    <xdr:from>
      <xdr:col>21</xdr:col>
      <xdr:colOff>128952</xdr:colOff>
      <xdr:row>18</xdr:row>
      <xdr:rowOff>840</xdr:rowOff>
    </xdr:from>
    <xdr:to>
      <xdr:col>24</xdr:col>
      <xdr:colOff>5563</xdr:colOff>
      <xdr:row>20</xdr:row>
      <xdr:rowOff>107733</xdr:rowOff>
    </xdr:to>
    <xdr:pic>
      <xdr:nvPicPr>
        <xdr:cNvPr id="172" name="Picture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577002" y="2410665"/>
          <a:ext cx="333811" cy="354543"/>
        </a:xfrm>
        <a:prstGeom prst="rect">
          <a:avLst/>
        </a:prstGeom>
      </xdr:spPr>
    </xdr:pic>
    <xdr:clientData/>
  </xdr:twoCellAnchor>
  <xdr:twoCellAnchor>
    <xdr:from>
      <xdr:col>15</xdr:col>
      <xdr:colOff>45239</xdr:colOff>
      <xdr:row>40</xdr:row>
      <xdr:rowOff>42291</xdr:rowOff>
    </xdr:from>
    <xdr:to>
      <xdr:col>16</xdr:col>
      <xdr:colOff>139796</xdr:colOff>
      <xdr:row>42</xdr:row>
      <xdr:rowOff>61229</xdr:rowOff>
    </xdr:to>
    <xdr:pic>
      <xdr:nvPicPr>
        <xdr:cNvPr id="173" name="Picture 172">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542150" y="5124559"/>
          <a:ext cx="244235" cy="263866"/>
        </a:xfrm>
        <a:prstGeom prst="rect">
          <a:avLst/>
        </a:prstGeom>
      </xdr:spPr>
    </xdr:pic>
    <xdr:clientData/>
  </xdr:twoCellAnchor>
  <xdr:twoCellAnchor>
    <xdr:from>
      <xdr:col>3</xdr:col>
      <xdr:colOff>60501</xdr:colOff>
      <xdr:row>34</xdr:row>
      <xdr:rowOff>6931</xdr:rowOff>
    </xdr:from>
    <xdr:to>
      <xdr:col>5</xdr:col>
      <xdr:colOff>5379</xdr:colOff>
      <xdr:row>36</xdr:row>
      <xdr:rowOff>25868</xdr:rowOff>
    </xdr:to>
    <xdr:pic>
      <xdr:nvPicPr>
        <xdr:cNvPr id="175" name="Picture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61269" y="4354413"/>
          <a:ext cx="244235" cy="263866"/>
        </a:xfrm>
        <a:prstGeom prst="rect">
          <a:avLst/>
        </a:prstGeom>
      </xdr:spPr>
    </xdr:pic>
    <xdr:clientData/>
  </xdr:twoCellAnchor>
  <xdr:twoCellAnchor>
    <xdr:from>
      <xdr:col>12</xdr:col>
      <xdr:colOff>85523</xdr:colOff>
      <xdr:row>18</xdr:row>
      <xdr:rowOff>110449</xdr:rowOff>
    </xdr:from>
    <xdr:to>
      <xdr:col>15</xdr:col>
      <xdr:colOff>71976</xdr:colOff>
      <xdr:row>20</xdr:row>
      <xdr:rowOff>94121</xdr:rowOff>
    </xdr:to>
    <xdr:pic>
      <xdr:nvPicPr>
        <xdr:cNvPr id="109" name="Picture 108">
          <a:extLst>
            <a:ext uri="{FF2B5EF4-FFF2-40B4-BE49-F238E27FC236}">
              <a16:creationId xmlns:a16="http://schemas.microsoft.com/office/drawing/2014/main" id="{00000000-0008-0000-0100-00006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33398" y="2498503"/>
          <a:ext cx="435489" cy="228600"/>
        </a:xfrm>
        <a:prstGeom prst="rect">
          <a:avLst/>
        </a:prstGeom>
      </xdr:spPr>
    </xdr:pic>
    <xdr:clientData/>
  </xdr:twoCellAnchor>
  <xdr:twoCellAnchor>
    <xdr:from>
      <xdr:col>16</xdr:col>
      <xdr:colOff>111261</xdr:colOff>
      <xdr:row>20</xdr:row>
      <xdr:rowOff>51184</xdr:rowOff>
    </xdr:from>
    <xdr:to>
      <xdr:col>19</xdr:col>
      <xdr:colOff>127730</xdr:colOff>
      <xdr:row>24</xdr:row>
      <xdr:rowOff>64247</xdr:rowOff>
    </xdr:to>
    <xdr:pic macro="[0]!Image_Supp_in_Click">
      <xdr:nvPicPr>
        <xdr:cNvPr id="110" name="Picture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757850" y="2684166"/>
          <a:ext cx="465505" cy="502920"/>
        </a:xfrm>
        <a:prstGeom prst="rect">
          <a:avLst/>
        </a:prstGeom>
        <a:ln>
          <a:noFill/>
          <a:prstDash val="sysDot"/>
        </a:ln>
      </xdr:spPr>
    </xdr:pic>
    <xdr:clientData/>
  </xdr:twoCellAnchor>
  <xdr:twoCellAnchor>
    <xdr:from>
      <xdr:col>19</xdr:col>
      <xdr:colOff>13470</xdr:colOff>
      <xdr:row>26</xdr:row>
      <xdr:rowOff>5958</xdr:rowOff>
    </xdr:from>
    <xdr:to>
      <xdr:col>21</xdr:col>
      <xdr:colOff>101284</xdr:colOff>
      <xdr:row>29</xdr:row>
      <xdr:rowOff>31757</xdr:rowOff>
    </xdr:to>
    <xdr:pic>
      <xdr:nvPicPr>
        <xdr:cNvPr id="111" name="Picture 110">
          <a:extLst>
            <a:ext uri="{FF2B5EF4-FFF2-40B4-BE49-F238E27FC236}">
              <a16:creationId xmlns:a16="http://schemas.microsoft.com/office/drawing/2014/main" id="{00000000-0008-0000-0100-00006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109095" y="3373726"/>
          <a:ext cx="387171" cy="393192"/>
        </a:xfrm>
        <a:prstGeom prst="rect">
          <a:avLst/>
        </a:prstGeom>
      </xdr:spPr>
    </xdr:pic>
    <xdr:clientData/>
  </xdr:twoCellAnchor>
  <xdr:twoCellAnchor>
    <xdr:from>
      <xdr:col>17</xdr:col>
      <xdr:colOff>9733</xdr:colOff>
      <xdr:row>32</xdr:row>
      <xdr:rowOff>85391</xdr:rowOff>
    </xdr:from>
    <xdr:to>
      <xdr:col>19</xdr:col>
      <xdr:colOff>91772</xdr:colOff>
      <xdr:row>34</xdr:row>
      <xdr:rowOff>23343</xdr:rowOff>
    </xdr:to>
    <xdr:grpSp>
      <xdr:nvGrpSpPr>
        <xdr:cNvPr id="112" name="Group 111">
          <a:extLst>
            <a:ext uri="{FF2B5EF4-FFF2-40B4-BE49-F238E27FC236}">
              <a16:creationId xmlns:a16="http://schemas.microsoft.com/office/drawing/2014/main" id="{00000000-0008-0000-0100-000070000000}"/>
            </a:ext>
          </a:extLst>
        </xdr:cNvPr>
        <xdr:cNvGrpSpPr>
          <a:grpSpLocks noChangeAspect="1"/>
        </xdr:cNvGrpSpPr>
      </xdr:nvGrpSpPr>
      <xdr:grpSpPr>
        <a:xfrm>
          <a:off x="2496816" y="4371641"/>
          <a:ext cx="378373" cy="191952"/>
          <a:chOff x="2889246" y="611189"/>
          <a:chExt cx="367341" cy="163037"/>
        </a:xfrm>
      </xdr:grpSpPr>
      <xdr:pic>
        <xdr:nvPicPr>
          <xdr:cNvPr id="113" name="Picture 112" descr="C:\Users\OMS 179\Downloads\bap.png">
            <a:extLst>
              <a:ext uri="{FF2B5EF4-FFF2-40B4-BE49-F238E27FC236}">
                <a16:creationId xmlns:a16="http://schemas.microsoft.com/office/drawing/2014/main" id="{00000000-0008-0000-0100-00007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114" name="Picture 113" descr="C:\Users\OMS 179\Downloads\bap.png">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clientData/>
  </xdr:twoCellAnchor>
  <xdr:twoCellAnchor>
    <xdr:from>
      <xdr:col>12</xdr:col>
      <xdr:colOff>143211</xdr:colOff>
      <xdr:row>34</xdr:row>
      <xdr:rowOff>79031</xdr:rowOff>
    </xdr:from>
    <xdr:to>
      <xdr:col>15</xdr:col>
      <xdr:colOff>7332</xdr:colOff>
      <xdr:row>37</xdr:row>
      <xdr:rowOff>49966</xdr:rowOff>
    </xdr:to>
    <xdr:pic>
      <xdr:nvPicPr>
        <xdr:cNvPr id="115" name="Picture 114">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191086" y="4426513"/>
          <a:ext cx="313157" cy="338328"/>
        </a:xfrm>
        <a:prstGeom prst="rect">
          <a:avLst/>
        </a:prstGeom>
      </xdr:spPr>
    </xdr:pic>
    <xdr:clientData/>
  </xdr:twoCellAnchor>
  <xdr:twoCellAnchor>
    <xdr:from>
      <xdr:col>8</xdr:col>
      <xdr:colOff>65775</xdr:colOff>
      <xdr:row>32</xdr:row>
      <xdr:rowOff>14624</xdr:rowOff>
    </xdr:from>
    <xdr:to>
      <xdr:col>10</xdr:col>
      <xdr:colOff>93043</xdr:colOff>
      <xdr:row>34</xdr:row>
      <xdr:rowOff>108024</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514936" y="4117178"/>
          <a:ext cx="326625" cy="338328"/>
        </a:xfrm>
        <a:prstGeom prst="rect">
          <a:avLst/>
        </a:prstGeom>
      </xdr:spPr>
    </xdr:pic>
    <xdr:clientData/>
  </xdr:twoCellAnchor>
  <xdr:twoCellAnchor>
    <xdr:from>
      <xdr:col>12</xdr:col>
      <xdr:colOff>124454</xdr:colOff>
      <xdr:row>25</xdr:row>
      <xdr:rowOff>95373</xdr:rowOff>
    </xdr:from>
    <xdr:to>
      <xdr:col>15</xdr:col>
      <xdr:colOff>64748</xdr:colOff>
      <xdr:row>29</xdr:row>
      <xdr:rowOff>26140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200904" y="3371973"/>
          <a:ext cx="397494" cy="426067"/>
        </a:xfrm>
        <a:prstGeom prst="rect">
          <a:avLst/>
        </a:prstGeom>
      </xdr:spPr>
    </xdr:pic>
    <xdr:clientData/>
  </xdr:twoCellAnchor>
  <xdr:twoCellAnchor>
    <xdr:from>
      <xdr:col>6</xdr:col>
      <xdr:colOff>50001</xdr:colOff>
      <xdr:row>26</xdr:row>
      <xdr:rowOff>31728</xdr:rowOff>
    </xdr:from>
    <xdr:to>
      <xdr:col>9</xdr:col>
      <xdr:colOff>26882</xdr:colOff>
      <xdr:row>29</xdr:row>
      <xdr:rowOff>30095</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9805" y="3399496"/>
          <a:ext cx="425916" cy="365760"/>
        </a:xfrm>
        <a:prstGeom prst="rect">
          <a:avLst/>
        </a:prstGeom>
      </xdr:spPr>
    </xdr:pic>
    <xdr:clientData/>
  </xdr:twoCellAnchor>
  <xdr:twoCellAnchor>
    <xdr:from>
      <xdr:col>8</xdr:col>
      <xdr:colOff>85459</xdr:colOff>
      <xdr:row>20</xdr:row>
      <xdr:rowOff>100538</xdr:rowOff>
    </xdr:from>
    <xdr:to>
      <xdr:col>10</xdr:col>
      <xdr:colOff>64196</xdr:colOff>
      <xdr:row>24</xdr:row>
      <xdr:rowOff>31305</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34620" y="2733520"/>
          <a:ext cx="278094" cy="420624"/>
        </a:xfrm>
        <a:prstGeom prst="rect">
          <a:avLst/>
        </a:prstGeom>
        <a:solidFill>
          <a:srgbClr val="FFFFFF">
            <a:alpha val="0"/>
          </a:srgbClr>
        </a:solidFill>
        <a:ln w="15875" cap="flat" cmpd="sng" algn="ctr">
          <a:solidFill>
            <a:srgbClr val="FFFFFF"/>
          </a:solidFill>
          <a:prstDash val="solid"/>
          <a:miter lim="800000"/>
          <a:headEnd type="none" w="med" len="med"/>
          <a:tailEnd type="none" w="med" len="med"/>
        </a:ln>
      </xdr:spPr>
    </xdr:pic>
    <xdr:clientData/>
  </xdr:twoCellAnchor>
  <xdr:twoCellAnchor>
    <xdr:from>
      <xdr:col>16</xdr:col>
      <xdr:colOff>69850</xdr:colOff>
      <xdr:row>31</xdr:row>
      <xdr:rowOff>19050</xdr:rowOff>
    </xdr:from>
    <xdr:to>
      <xdr:col>20</xdr:col>
      <xdr:colOff>31750</xdr:colOff>
      <xdr:row>35</xdr:row>
      <xdr:rowOff>95250</xdr:rowOff>
    </xdr:to>
    <xdr:sp macro="[0]!Image_Bapt_in_Click" textlink="">
      <xdr:nvSpPr>
        <xdr:cNvPr id="141" name="Bapt_in">
          <a:extLst>
            <a:ext uri="{FF2B5EF4-FFF2-40B4-BE49-F238E27FC236}">
              <a16:creationId xmlns:a16="http://schemas.microsoft.com/office/drawing/2014/main" id="{00000000-0008-0000-0100-00008D000000}"/>
            </a:ext>
          </a:extLst>
        </xdr:cNvPr>
        <xdr:cNvSpPr/>
      </xdr:nvSpPr>
      <xdr:spPr>
        <a:xfrm>
          <a:off x="2755900" y="4038600"/>
          <a:ext cx="571500" cy="571500"/>
        </a:xfrm>
        <a:prstGeom prst="ellipse">
          <a:avLst/>
        </a:prstGeom>
        <a:solidFill>
          <a:srgbClr val="FFFFFF">
            <a:alpha val="0"/>
          </a:srgbClr>
        </a:solidFill>
        <a:ln w="15875">
          <a:solidFill>
            <a:srgbClr val="FFFFFF"/>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31750</xdr:colOff>
      <xdr:row>33</xdr:row>
      <xdr:rowOff>63500</xdr:rowOff>
    </xdr:from>
    <xdr:to>
      <xdr:col>15</xdr:col>
      <xdr:colOff>146050</xdr:colOff>
      <xdr:row>38</xdr:row>
      <xdr:rowOff>15875</xdr:rowOff>
    </xdr:to>
    <xdr:sp macro="[0]!Image_Pray_in_Click" textlink="">
      <xdr:nvSpPr>
        <xdr:cNvPr id="142" name="Pray_in">
          <a:extLst>
            <a:ext uri="{FF2B5EF4-FFF2-40B4-BE49-F238E27FC236}">
              <a16:creationId xmlns:a16="http://schemas.microsoft.com/office/drawing/2014/main" id="{00000000-0008-0000-0100-00008E000000}"/>
            </a:ext>
          </a:extLst>
        </xdr:cNvPr>
        <xdr:cNvSpPr/>
      </xdr:nvSpPr>
      <xdr:spPr>
        <a:xfrm>
          <a:off x="2108200" y="4330700"/>
          <a:ext cx="571500" cy="571500"/>
        </a:xfrm>
        <a:prstGeom prst="ellipse">
          <a:avLst/>
        </a:prstGeom>
        <a:solidFill>
          <a:srgbClr val="FFFFFF">
            <a:alpha val="0"/>
          </a:srgbClr>
        </a:solidFill>
        <a:ln w="158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95250</xdr:colOff>
      <xdr:row>31</xdr:row>
      <xdr:rowOff>19050</xdr:rowOff>
    </xdr:from>
    <xdr:to>
      <xdr:col>11</xdr:col>
      <xdr:colOff>57150</xdr:colOff>
      <xdr:row>35</xdr:row>
      <xdr:rowOff>95250</xdr:rowOff>
    </xdr:to>
    <xdr:sp macro="[0]!Image_Fell_in_Click" textlink="">
      <xdr:nvSpPr>
        <xdr:cNvPr id="143" name="Fell_in">
          <a:extLst>
            <a:ext uri="{FF2B5EF4-FFF2-40B4-BE49-F238E27FC236}">
              <a16:creationId xmlns:a16="http://schemas.microsoft.com/office/drawing/2014/main" id="{00000000-0008-0000-0100-00008F000000}"/>
            </a:ext>
          </a:extLst>
        </xdr:cNvPr>
        <xdr:cNvSpPr/>
      </xdr:nvSpPr>
      <xdr:spPr>
        <a:xfrm>
          <a:off x="1409700" y="4038600"/>
          <a:ext cx="571500" cy="571500"/>
        </a:xfrm>
        <a:prstGeom prst="ellipse">
          <a:avLst/>
        </a:prstGeom>
        <a:solidFill>
          <a:srgbClr val="FFFFFF">
            <a:alpha val="0"/>
          </a:srgbClr>
        </a:solidFill>
        <a:ln w="158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133350</xdr:colOff>
      <xdr:row>25</xdr:row>
      <xdr:rowOff>50800</xdr:rowOff>
    </xdr:from>
    <xdr:to>
      <xdr:col>9</xdr:col>
      <xdr:colOff>95250</xdr:colOff>
      <xdr:row>30</xdr:row>
      <xdr:rowOff>3175</xdr:rowOff>
    </xdr:to>
    <xdr:sp macro="[0]!Image_Wrsp_in_Click" textlink="">
      <xdr:nvSpPr>
        <xdr:cNvPr id="145" name="Wrsp_in">
          <a:extLst>
            <a:ext uri="{FF2B5EF4-FFF2-40B4-BE49-F238E27FC236}">
              <a16:creationId xmlns:a16="http://schemas.microsoft.com/office/drawing/2014/main" id="{00000000-0008-0000-0100-000091000000}"/>
            </a:ext>
          </a:extLst>
        </xdr:cNvPr>
        <xdr:cNvSpPr/>
      </xdr:nvSpPr>
      <xdr:spPr>
        <a:xfrm>
          <a:off x="1143000" y="3327400"/>
          <a:ext cx="571500" cy="571500"/>
        </a:xfrm>
        <a:prstGeom prst="ellipse">
          <a:avLst/>
        </a:prstGeom>
        <a:solidFill>
          <a:srgbClr val="FFFFFF">
            <a:alpha val="0"/>
          </a:srgbClr>
        </a:solidFill>
        <a:ln w="15875" cap="flat" cmpd="sng" algn="ctr">
          <a:solidFill>
            <a:srgbClr val="000000"/>
          </a:solidFill>
          <a:prstDash val="dash"/>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95250</xdr:colOff>
      <xdr:row>20</xdr:row>
      <xdr:rowOff>22225</xdr:rowOff>
    </xdr:from>
    <xdr:to>
      <xdr:col>11</xdr:col>
      <xdr:colOff>57150</xdr:colOff>
      <xdr:row>24</xdr:row>
      <xdr:rowOff>98425</xdr:rowOff>
    </xdr:to>
    <xdr:sp macro="[0]!Image_aBib_in_Click" textlink="">
      <xdr:nvSpPr>
        <xdr:cNvPr id="146" name="aBib_in">
          <a:extLst>
            <a:ext uri="{FF2B5EF4-FFF2-40B4-BE49-F238E27FC236}">
              <a16:creationId xmlns:a16="http://schemas.microsoft.com/office/drawing/2014/main" id="{00000000-0008-0000-0100-000092000000}"/>
            </a:ext>
          </a:extLst>
        </xdr:cNvPr>
        <xdr:cNvSpPr/>
      </xdr:nvSpPr>
      <xdr:spPr>
        <a:xfrm>
          <a:off x="1409700" y="2679700"/>
          <a:ext cx="571500" cy="571500"/>
        </a:xfrm>
        <a:prstGeom prst="ellipse">
          <a:avLst/>
        </a:prstGeom>
        <a:solidFill>
          <a:srgbClr val="FFFFFF">
            <a:alpha val="0"/>
          </a:srgbClr>
        </a:solidFill>
        <a:ln w="15875">
          <a:solidFill>
            <a:srgbClr val="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31750</xdr:colOff>
      <xdr:row>17</xdr:row>
      <xdr:rowOff>76200</xdr:rowOff>
    </xdr:from>
    <xdr:to>
      <xdr:col>15</xdr:col>
      <xdr:colOff>146050</xdr:colOff>
      <xdr:row>22</xdr:row>
      <xdr:rowOff>28575</xdr:rowOff>
    </xdr:to>
    <xdr:sp macro="[0]!Image_Evan_in_Click" textlink="">
      <xdr:nvSpPr>
        <xdr:cNvPr id="147" name="Evan_in">
          <a:extLst>
            <a:ext uri="{FF2B5EF4-FFF2-40B4-BE49-F238E27FC236}">
              <a16:creationId xmlns:a16="http://schemas.microsoft.com/office/drawing/2014/main" id="{00000000-0008-0000-0100-000093000000}"/>
            </a:ext>
          </a:extLst>
        </xdr:cNvPr>
        <xdr:cNvSpPr/>
      </xdr:nvSpPr>
      <xdr:spPr>
        <a:xfrm>
          <a:off x="2108200" y="2362200"/>
          <a:ext cx="571500" cy="571500"/>
        </a:xfrm>
        <a:prstGeom prst="ellipse">
          <a:avLst/>
        </a:prstGeom>
        <a:solidFill>
          <a:srgbClr val="FFFFFF">
            <a:alpha val="0"/>
          </a:srgbClr>
        </a:solidFill>
        <a:ln w="158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69850</xdr:colOff>
      <xdr:row>20</xdr:row>
      <xdr:rowOff>22225</xdr:rowOff>
    </xdr:from>
    <xdr:to>
      <xdr:col>20</xdr:col>
      <xdr:colOff>31750</xdr:colOff>
      <xdr:row>24</xdr:row>
      <xdr:rowOff>98425</xdr:rowOff>
    </xdr:to>
    <xdr:sp macro="[0]!Image_Supp_in_Click" textlink="">
      <xdr:nvSpPr>
        <xdr:cNvPr id="139" name="Supp_in">
          <a:extLst>
            <a:ext uri="{FF2B5EF4-FFF2-40B4-BE49-F238E27FC236}">
              <a16:creationId xmlns:a16="http://schemas.microsoft.com/office/drawing/2014/main" id="{00000000-0008-0000-0100-00008B000000}"/>
            </a:ext>
          </a:extLst>
        </xdr:cNvPr>
        <xdr:cNvSpPr/>
      </xdr:nvSpPr>
      <xdr:spPr>
        <a:xfrm>
          <a:off x="2755900" y="2679700"/>
          <a:ext cx="571500" cy="571500"/>
        </a:xfrm>
        <a:prstGeom prst="ellipse">
          <a:avLst/>
        </a:prstGeom>
        <a:solidFill>
          <a:srgbClr val="FFFFFF">
            <a:alpha val="0"/>
          </a:srgbClr>
        </a:solidFill>
        <a:ln w="15875" cap="flat" cmpd="sng" algn="ctr">
          <a:solidFill>
            <a:srgbClr val="000000"/>
          </a:solidFill>
          <a:prstDash val="dash"/>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82550</xdr:colOff>
      <xdr:row>25</xdr:row>
      <xdr:rowOff>50800</xdr:rowOff>
    </xdr:from>
    <xdr:to>
      <xdr:col>22</xdr:col>
      <xdr:colOff>44450</xdr:colOff>
      <xdr:row>30</xdr:row>
      <xdr:rowOff>3175</xdr:rowOff>
    </xdr:to>
    <xdr:sp macro="[0]!Image_Give_in_Click" textlink="">
      <xdr:nvSpPr>
        <xdr:cNvPr id="140" name="Give_in">
          <a:extLst>
            <a:ext uri="{FF2B5EF4-FFF2-40B4-BE49-F238E27FC236}">
              <a16:creationId xmlns:a16="http://schemas.microsoft.com/office/drawing/2014/main" id="{00000000-0008-0000-0100-00008C000000}"/>
            </a:ext>
          </a:extLst>
        </xdr:cNvPr>
        <xdr:cNvSpPr/>
      </xdr:nvSpPr>
      <xdr:spPr>
        <a:xfrm>
          <a:off x="3073400" y="3327400"/>
          <a:ext cx="571500" cy="571500"/>
        </a:xfrm>
        <a:prstGeom prst="ellipse">
          <a:avLst/>
        </a:prstGeom>
        <a:solidFill>
          <a:srgbClr val="FFFFFF">
            <a:alpha val="0"/>
          </a:srgbClr>
        </a:solidFill>
        <a:ln w="15875" cap="flat" cmpd="sng" algn="ctr">
          <a:solidFill>
            <a:srgbClr val="FFFFFF"/>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44450</xdr:colOff>
      <xdr:row>17</xdr:row>
      <xdr:rowOff>63500</xdr:rowOff>
    </xdr:from>
    <xdr:to>
      <xdr:col>24</xdr:col>
      <xdr:colOff>95250</xdr:colOff>
      <xdr:row>21</xdr:row>
      <xdr:rowOff>76200</xdr:rowOff>
    </xdr:to>
    <xdr:sp macro="[0]!Image_Supp_out_Click" textlink="">
      <xdr:nvSpPr>
        <xdr:cNvPr id="7" name="Supp_out">
          <a:extLst>
            <a:ext uri="{FF2B5EF4-FFF2-40B4-BE49-F238E27FC236}">
              <a16:creationId xmlns:a16="http://schemas.microsoft.com/office/drawing/2014/main" id="{00000000-0008-0000-0100-000007000000}"/>
            </a:ext>
          </a:extLst>
        </xdr:cNvPr>
        <xdr:cNvSpPr/>
      </xdr:nvSpPr>
      <xdr:spPr>
        <a:xfrm>
          <a:off x="3492500" y="2349500"/>
          <a:ext cx="508000" cy="508000"/>
        </a:xfrm>
        <a:prstGeom prst="ellipse">
          <a:avLst/>
        </a:prstGeom>
        <a:solidFill>
          <a:srgbClr val="FFFFFF">
            <a:alpha val="0"/>
          </a:srgbClr>
        </a:solidFill>
        <a:ln w="15875" cap="flat" cmpd="sng" algn="ctr">
          <a:solidFill>
            <a:srgbClr val="FFFFFF"/>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95250</xdr:colOff>
      <xdr:row>35</xdr:row>
      <xdr:rowOff>19050</xdr:rowOff>
    </xdr:from>
    <xdr:to>
      <xdr:col>23</xdr:col>
      <xdr:colOff>146050</xdr:colOff>
      <xdr:row>39</xdr:row>
      <xdr:rowOff>31750</xdr:rowOff>
    </xdr:to>
    <xdr:sp macro="[0]!Image_Bapt_out_Click" textlink="">
      <xdr:nvSpPr>
        <xdr:cNvPr id="16" name="Bapt_out">
          <a:extLst>
            <a:ext uri="{FF2B5EF4-FFF2-40B4-BE49-F238E27FC236}">
              <a16:creationId xmlns:a16="http://schemas.microsoft.com/office/drawing/2014/main" id="{00000000-0008-0000-0100-000010000000}"/>
            </a:ext>
          </a:extLst>
        </xdr:cNvPr>
        <xdr:cNvSpPr/>
      </xdr:nvSpPr>
      <xdr:spPr>
        <a:xfrm>
          <a:off x="3390900" y="4533900"/>
          <a:ext cx="508000" cy="508000"/>
        </a:xfrm>
        <a:prstGeom prst="ellipse">
          <a:avLst/>
        </a:prstGeom>
        <a:solidFill>
          <a:srgbClr val="FFFFFF">
            <a:alpha val="0"/>
          </a:srgbClr>
        </a:solidFill>
        <a:ln w="158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69850</xdr:colOff>
      <xdr:row>39</xdr:row>
      <xdr:rowOff>44450</xdr:rowOff>
    </xdr:from>
    <xdr:to>
      <xdr:col>17</xdr:col>
      <xdr:colOff>120650</xdr:colOff>
      <xdr:row>43</xdr:row>
      <xdr:rowOff>57150</xdr:rowOff>
    </xdr:to>
    <xdr:sp macro="[0]!Image_Pray_out_Click" textlink="">
      <xdr:nvSpPr>
        <xdr:cNvPr id="20" name="Pray_out">
          <a:extLst>
            <a:ext uri="{FF2B5EF4-FFF2-40B4-BE49-F238E27FC236}">
              <a16:creationId xmlns:a16="http://schemas.microsoft.com/office/drawing/2014/main" id="{00000000-0008-0000-0100-000014000000}"/>
            </a:ext>
          </a:extLst>
        </xdr:cNvPr>
        <xdr:cNvSpPr/>
      </xdr:nvSpPr>
      <xdr:spPr>
        <a:xfrm>
          <a:off x="2451100" y="5054600"/>
          <a:ext cx="508000" cy="508000"/>
        </a:xfrm>
        <a:prstGeom prst="ellipse">
          <a:avLst/>
        </a:prstGeom>
        <a:solidFill>
          <a:srgbClr val="FFFFFF">
            <a:alpha val="0"/>
          </a:srgbClr>
        </a:solidFill>
        <a:ln w="15875" cap="flat" cmpd="sng" algn="ctr">
          <a:solidFill>
            <a:srgbClr val="FFFFFF"/>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82550</xdr:colOff>
      <xdr:row>38</xdr:row>
      <xdr:rowOff>53975</xdr:rowOff>
    </xdr:from>
    <xdr:to>
      <xdr:col>10</xdr:col>
      <xdr:colOff>133350</xdr:colOff>
      <xdr:row>42</xdr:row>
      <xdr:rowOff>66675</xdr:rowOff>
    </xdr:to>
    <xdr:sp macro="[0]!Image_Fell_out_Click" textlink="">
      <xdr:nvSpPr>
        <xdr:cNvPr id="21" name="Fell_out">
          <a:extLst>
            <a:ext uri="{FF2B5EF4-FFF2-40B4-BE49-F238E27FC236}">
              <a16:creationId xmlns:a16="http://schemas.microsoft.com/office/drawing/2014/main" id="{00000000-0008-0000-0100-000015000000}"/>
            </a:ext>
          </a:extLst>
        </xdr:cNvPr>
        <xdr:cNvSpPr/>
      </xdr:nvSpPr>
      <xdr:spPr>
        <a:xfrm>
          <a:off x="1397000" y="4940300"/>
          <a:ext cx="508000" cy="508000"/>
        </a:xfrm>
        <a:prstGeom prst="ellipse">
          <a:avLst/>
        </a:prstGeom>
        <a:solidFill>
          <a:srgbClr val="FFFFFF">
            <a:alpha val="0"/>
          </a:srgbClr>
        </a:solidFill>
        <a:ln w="15875" cap="flat" cmpd="sng" algn="ctr">
          <a:solidFill>
            <a:srgbClr val="FFFFFF"/>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82550</xdr:colOff>
      <xdr:row>33</xdr:row>
      <xdr:rowOff>25400</xdr:rowOff>
    </xdr:from>
    <xdr:to>
      <xdr:col>5</xdr:col>
      <xdr:colOff>133350</xdr:colOff>
      <xdr:row>37</xdr:row>
      <xdr:rowOff>38100</xdr:rowOff>
    </xdr:to>
    <xdr:sp macro="[0]!Image_Wrks_out_Click" textlink="">
      <xdr:nvSpPr>
        <xdr:cNvPr id="22" name="Wrks_out">
          <a:extLst>
            <a:ext uri="{FF2B5EF4-FFF2-40B4-BE49-F238E27FC236}">
              <a16:creationId xmlns:a16="http://schemas.microsoft.com/office/drawing/2014/main" id="{00000000-0008-0000-0100-000016000000}"/>
            </a:ext>
          </a:extLst>
        </xdr:cNvPr>
        <xdr:cNvSpPr/>
      </xdr:nvSpPr>
      <xdr:spPr>
        <a:xfrm>
          <a:off x="635000" y="4292600"/>
          <a:ext cx="508000" cy="508000"/>
        </a:xfrm>
        <a:prstGeom prst="ellipse">
          <a:avLst/>
        </a:prstGeom>
        <a:solidFill>
          <a:srgbClr val="FFFFFF">
            <a:alpha val="0"/>
          </a:srgbClr>
        </a:solidFill>
        <a:ln w="158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107950</xdr:colOff>
      <xdr:row>22</xdr:row>
      <xdr:rowOff>79375</xdr:rowOff>
    </xdr:from>
    <xdr:to>
      <xdr:col>5</xdr:col>
      <xdr:colOff>6350</xdr:colOff>
      <xdr:row>26</xdr:row>
      <xdr:rowOff>92075</xdr:rowOff>
    </xdr:to>
    <xdr:sp macro="[0]!Image_Wrsp_out_Click" textlink="">
      <xdr:nvSpPr>
        <xdr:cNvPr id="23" name="Wrsp_out">
          <a:extLst>
            <a:ext uri="{FF2B5EF4-FFF2-40B4-BE49-F238E27FC236}">
              <a16:creationId xmlns:a16="http://schemas.microsoft.com/office/drawing/2014/main" id="{00000000-0008-0000-0100-000017000000}"/>
            </a:ext>
          </a:extLst>
        </xdr:cNvPr>
        <xdr:cNvSpPr/>
      </xdr:nvSpPr>
      <xdr:spPr>
        <a:xfrm>
          <a:off x="508000" y="2984500"/>
          <a:ext cx="508000" cy="508000"/>
        </a:xfrm>
        <a:prstGeom prst="ellipse">
          <a:avLst/>
        </a:prstGeom>
        <a:solidFill>
          <a:srgbClr val="FFFFFF">
            <a:alpha val="0"/>
          </a:srgbClr>
        </a:solidFill>
        <a:ln w="15875" cap="flat" cmpd="sng" algn="ctr">
          <a:solidFill>
            <a:srgbClr val="FFFFFF"/>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120650</xdr:colOff>
      <xdr:row>15</xdr:row>
      <xdr:rowOff>19050</xdr:rowOff>
    </xdr:from>
    <xdr:to>
      <xdr:col>9</xdr:col>
      <xdr:colOff>19050</xdr:colOff>
      <xdr:row>19</xdr:row>
      <xdr:rowOff>31750</xdr:rowOff>
    </xdr:to>
    <xdr:sp macro="[0]!Image_aBib_out_Click" textlink="">
      <xdr:nvSpPr>
        <xdr:cNvPr id="24" name="aBib_out">
          <a:extLst>
            <a:ext uri="{FF2B5EF4-FFF2-40B4-BE49-F238E27FC236}">
              <a16:creationId xmlns:a16="http://schemas.microsoft.com/office/drawing/2014/main" id="{00000000-0008-0000-0100-000018000000}"/>
            </a:ext>
          </a:extLst>
        </xdr:cNvPr>
        <xdr:cNvSpPr/>
      </xdr:nvSpPr>
      <xdr:spPr>
        <a:xfrm>
          <a:off x="1130300" y="2057400"/>
          <a:ext cx="508000" cy="508000"/>
        </a:xfrm>
        <a:prstGeom prst="ellipse">
          <a:avLst/>
        </a:prstGeom>
        <a:solidFill>
          <a:srgbClr val="FFFFFF">
            <a:alpha val="0"/>
          </a:srgbClr>
        </a:solidFill>
        <a:ln w="15875" cap="flat" cmpd="sng" algn="ctr">
          <a:solidFill>
            <a:srgbClr val="FFFFFF"/>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19050</xdr:colOff>
      <xdr:row>13</xdr:row>
      <xdr:rowOff>22225</xdr:rowOff>
    </xdr:from>
    <xdr:to>
      <xdr:col>18</xdr:col>
      <xdr:colOff>69850</xdr:colOff>
      <xdr:row>17</xdr:row>
      <xdr:rowOff>34925</xdr:rowOff>
    </xdr:to>
    <xdr:sp macro="[0]!Image_Evan_out_Click" textlink="">
      <xdr:nvSpPr>
        <xdr:cNvPr id="25" name="Evan_out">
          <a:extLst>
            <a:ext uri="{FF2B5EF4-FFF2-40B4-BE49-F238E27FC236}">
              <a16:creationId xmlns:a16="http://schemas.microsoft.com/office/drawing/2014/main" id="{00000000-0008-0000-0100-000019000000}"/>
            </a:ext>
          </a:extLst>
        </xdr:cNvPr>
        <xdr:cNvSpPr/>
      </xdr:nvSpPr>
      <xdr:spPr>
        <a:xfrm>
          <a:off x="2266950" y="1631950"/>
          <a:ext cx="508000" cy="508000"/>
        </a:xfrm>
        <a:prstGeom prst="ellipse">
          <a:avLst/>
        </a:prstGeom>
        <a:solidFill>
          <a:srgbClr val="FFFFFF">
            <a:alpha val="0"/>
          </a:srgbClr>
        </a:solidFill>
        <a:ln w="15875" cap="flat" cmpd="sng" algn="ctr">
          <a:solidFill>
            <a:srgbClr val="FFFFFF"/>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23</xdr:col>
      <xdr:colOff>95250</xdr:colOff>
      <xdr:row>25</xdr:row>
      <xdr:rowOff>88900</xdr:rowOff>
    </xdr:from>
    <xdr:to>
      <xdr:col>26</xdr:col>
      <xdr:colOff>146050</xdr:colOff>
      <xdr:row>29</xdr:row>
      <xdr:rowOff>101600</xdr:rowOff>
    </xdr:to>
    <xdr:sp macro="[0]!Image_Give_out_Click" textlink="">
      <xdr:nvSpPr>
        <xdr:cNvPr id="15" name="Give_out">
          <a:extLst>
            <a:ext uri="{FF2B5EF4-FFF2-40B4-BE49-F238E27FC236}">
              <a16:creationId xmlns:a16="http://schemas.microsoft.com/office/drawing/2014/main" id="{00000000-0008-0000-0100-00000F000000}"/>
            </a:ext>
          </a:extLst>
        </xdr:cNvPr>
        <xdr:cNvSpPr/>
      </xdr:nvSpPr>
      <xdr:spPr>
        <a:xfrm>
          <a:off x="3848100" y="3365500"/>
          <a:ext cx="508000" cy="508000"/>
        </a:xfrm>
        <a:prstGeom prst="ellipse">
          <a:avLst/>
        </a:prstGeom>
        <a:solidFill>
          <a:schemeClr val="accent2">
            <a:alpha val="0"/>
          </a:schemeClr>
        </a:solidFill>
        <a:ln w="158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31750</xdr:colOff>
      <xdr:row>25</xdr:row>
      <xdr:rowOff>50800</xdr:rowOff>
    </xdr:from>
    <xdr:to>
      <xdr:col>15</xdr:col>
      <xdr:colOff>146050</xdr:colOff>
      <xdr:row>30</xdr:row>
      <xdr:rowOff>3175</xdr:rowOff>
    </xdr:to>
    <xdr:sp macro="[0]!Image_Wrks_in_Click" textlink="">
      <xdr:nvSpPr>
        <xdr:cNvPr id="144" name="Wrks_in">
          <a:extLst>
            <a:ext uri="{FF2B5EF4-FFF2-40B4-BE49-F238E27FC236}">
              <a16:creationId xmlns:a16="http://schemas.microsoft.com/office/drawing/2014/main" id="{00000000-0008-0000-0100-000090000000}"/>
            </a:ext>
          </a:extLst>
        </xdr:cNvPr>
        <xdr:cNvSpPr/>
      </xdr:nvSpPr>
      <xdr:spPr>
        <a:xfrm>
          <a:off x="2108200" y="3327400"/>
          <a:ext cx="571500" cy="571500"/>
        </a:xfrm>
        <a:prstGeom prst="ellipse">
          <a:avLst/>
        </a:prstGeom>
        <a:solidFill>
          <a:srgbClr val="FFFFFF">
            <a:alpha val="0"/>
          </a:srgbClr>
        </a:solidFill>
        <a:ln w="15875" cap="flat" cmpd="sng" algn="ctr">
          <a:solidFill>
            <a:srgbClr val="FFFFFF"/>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13</xdr:col>
          <xdr:colOff>66675</xdr:colOff>
          <xdr:row>0</xdr:row>
          <xdr:rowOff>152400</xdr:rowOff>
        </xdr:from>
        <xdr:to>
          <xdr:col>17</xdr:col>
          <xdr:colOff>9525</xdr:colOff>
          <xdr:row>1</xdr:row>
          <xdr:rowOff>123825</xdr:rowOff>
        </xdr:to>
        <xdr:sp macro="" textlink="">
          <xdr:nvSpPr>
            <xdr:cNvPr id="2050" name="Button 2" descr="G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FF0000"/>
                  </a:solidFill>
                  <a:latin typeface="Calibri"/>
                  <a:cs typeface="Calibri"/>
                </a:rPr>
                <a:t>Data</a:t>
              </a:r>
            </a:p>
          </xdr:txBody>
        </xdr:sp>
        <xdr:clientData fPrintsWithSheet="0"/>
      </xdr:twoCellAnchor>
    </mc:Choice>
    <mc:Fallback/>
  </mc:AlternateContent>
  <xdr:twoCellAnchor>
    <xdr:from>
      <xdr:col>31</xdr:col>
      <xdr:colOff>85725</xdr:colOff>
      <xdr:row>61</xdr:row>
      <xdr:rowOff>66675</xdr:rowOff>
    </xdr:from>
    <xdr:to>
      <xdr:col>31</xdr:col>
      <xdr:colOff>587952</xdr:colOff>
      <xdr:row>63</xdr:row>
      <xdr:rowOff>161925</xdr:rowOff>
    </xdr:to>
    <xdr:sp macro="" textlink="">
      <xdr:nvSpPr>
        <xdr:cNvPr id="78" name="Large_out">
          <a:extLst>
            <a:ext uri="{FF2B5EF4-FFF2-40B4-BE49-F238E27FC236}">
              <a16:creationId xmlns:a16="http://schemas.microsoft.com/office/drawing/2014/main" id="{00000000-0008-0000-0100-00004E000000}"/>
            </a:ext>
          </a:extLst>
        </xdr:cNvPr>
        <xdr:cNvSpPr/>
      </xdr:nvSpPr>
      <xdr:spPr>
        <a:xfrm>
          <a:off x="4638675" y="7839075"/>
          <a:ext cx="502227" cy="476250"/>
        </a:xfrm>
        <a:prstGeom prst="ellipse">
          <a:avLst/>
        </a:prstGeom>
        <a:noFill/>
        <a:ln w="19050" cap="flat" cmpd="sng" algn="ctr">
          <a:solidFill>
            <a:srgbClr val="FFFFFF"/>
          </a:solidFill>
          <a:prstDash val="dash"/>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95250</xdr:colOff>
      <xdr:row>61</xdr:row>
      <xdr:rowOff>28575</xdr:rowOff>
    </xdr:from>
    <xdr:to>
      <xdr:col>31</xdr:col>
      <xdr:colOff>597477</xdr:colOff>
      <xdr:row>63</xdr:row>
      <xdr:rowOff>123825</xdr:rowOff>
    </xdr:to>
    <xdr:sp macro="" textlink="">
      <xdr:nvSpPr>
        <xdr:cNvPr id="84" name="Large_out">
          <a:extLst>
            <a:ext uri="{FF2B5EF4-FFF2-40B4-BE49-F238E27FC236}">
              <a16:creationId xmlns:a16="http://schemas.microsoft.com/office/drawing/2014/main" id="{00000000-0008-0000-0100-000054000000}"/>
            </a:ext>
          </a:extLst>
        </xdr:cNvPr>
        <xdr:cNvSpPr/>
      </xdr:nvSpPr>
      <xdr:spPr>
        <a:xfrm>
          <a:off x="4648200" y="7800975"/>
          <a:ext cx="502227" cy="476250"/>
        </a:xfrm>
        <a:prstGeom prst="ellipse">
          <a:avLst/>
        </a:prstGeom>
        <a:noFill/>
        <a:ln w="19050" cap="flat" cmpd="sng" algn="ctr">
          <a:no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endParaRPr lang="en-US" sz="1100">
            <a:solidFill>
              <a:sysClr val="windowText" lastClr="000000"/>
            </a:solidFill>
          </a:endParaRPr>
        </a:p>
      </xdr:txBody>
    </xdr:sp>
    <xdr:clientData/>
  </xdr:twoCellAnchor>
  <xdr:twoCellAnchor>
    <xdr:from>
      <xdr:col>36</xdr:col>
      <xdr:colOff>0</xdr:colOff>
      <xdr:row>25</xdr:row>
      <xdr:rowOff>76200</xdr:rowOff>
    </xdr:from>
    <xdr:to>
      <xdr:col>37</xdr:col>
      <xdr:colOff>0</xdr:colOff>
      <xdr:row>30</xdr:row>
      <xdr:rowOff>9525</xdr:rowOff>
    </xdr:to>
    <xdr:sp macro="" textlink="">
      <xdr:nvSpPr>
        <xdr:cNvPr id="83" name="Text Box 9">
          <a:extLst>
            <a:ext uri="{FF2B5EF4-FFF2-40B4-BE49-F238E27FC236}">
              <a16:creationId xmlns:a16="http://schemas.microsoft.com/office/drawing/2014/main" id="{00000000-0008-0000-0100-000053000000}"/>
            </a:ext>
          </a:extLst>
        </xdr:cNvPr>
        <xdr:cNvSpPr txBox="1">
          <a:spLocks noChangeArrowheads="1"/>
        </xdr:cNvSpPr>
      </xdr:nvSpPr>
      <xdr:spPr bwMode="auto">
        <a:xfrm>
          <a:off x="8124825" y="3400425"/>
          <a:ext cx="714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85" name="Text Box 11">
          <a:extLst>
            <a:ext uri="{FF2B5EF4-FFF2-40B4-BE49-F238E27FC236}">
              <a16:creationId xmlns:a16="http://schemas.microsoft.com/office/drawing/2014/main" id="{00000000-0008-0000-0100-000055000000}"/>
            </a:ext>
          </a:extLst>
        </xdr:cNvPr>
        <xdr:cNvSpPr txBox="1">
          <a:spLocks noChangeArrowheads="1"/>
        </xdr:cNvSpPr>
      </xdr:nvSpPr>
      <xdr:spPr bwMode="auto">
        <a:xfrm>
          <a:off x="8248650" y="4533900"/>
          <a:ext cx="8953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86" name="Text Box 9">
          <a:extLst>
            <a:ext uri="{FF2B5EF4-FFF2-40B4-BE49-F238E27FC236}">
              <a16:creationId xmlns:a16="http://schemas.microsoft.com/office/drawing/2014/main" id="{00000000-0008-0000-0100-000056000000}"/>
            </a:ext>
          </a:extLst>
        </xdr:cNvPr>
        <xdr:cNvSpPr txBox="1">
          <a:spLocks noChangeArrowheads="1"/>
        </xdr:cNvSpPr>
      </xdr:nvSpPr>
      <xdr:spPr bwMode="auto">
        <a:xfrm>
          <a:off x="8124825" y="3400425"/>
          <a:ext cx="714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87" name="Text Box 11">
          <a:extLst>
            <a:ext uri="{FF2B5EF4-FFF2-40B4-BE49-F238E27FC236}">
              <a16:creationId xmlns:a16="http://schemas.microsoft.com/office/drawing/2014/main" id="{00000000-0008-0000-0100-000057000000}"/>
            </a:ext>
          </a:extLst>
        </xdr:cNvPr>
        <xdr:cNvSpPr txBox="1">
          <a:spLocks noChangeArrowheads="1"/>
        </xdr:cNvSpPr>
      </xdr:nvSpPr>
      <xdr:spPr bwMode="auto">
        <a:xfrm>
          <a:off x="8248650" y="4533900"/>
          <a:ext cx="7048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88" name="Text Box 9">
          <a:extLst>
            <a:ext uri="{FF2B5EF4-FFF2-40B4-BE49-F238E27FC236}">
              <a16:creationId xmlns:a16="http://schemas.microsoft.com/office/drawing/2014/main" id="{00000000-0008-0000-0100-000058000000}"/>
            </a:ext>
          </a:extLst>
        </xdr:cNvPr>
        <xdr:cNvSpPr txBox="1">
          <a:spLocks noChangeArrowheads="1"/>
        </xdr:cNvSpPr>
      </xdr:nvSpPr>
      <xdr:spPr bwMode="auto">
        <a:xfrm>
          <a:off x="8124825" y="3400425"/>
          <a:ext cx="714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89" name="Text Box 11">
          <a:extLst>
            <a:ext uri="{FF2B5EF4-FFF2-40B4-BE49-F238E27FC236}">
              <a16:creationId xmlns:a16="http://schemas.microsoft.com/office/drawing/2014/main" id="{00000000-0008-0000-0100-000059000000}"/>
            </a:ext>
          </a:extLst>
        </xdr:cNvPr>
        <xdr:cNvSpPr txBox="1">
          <a:spLocks noChangeArrowheads="1"/>
        </xdr:cNvSpPr>
      </xdr:nvSpPr>
      <xdr:spPr bwMode="auto">
        <a:xfrm>
          <a:off x="8248650" y="4533900"/>
          <a:ext cx="7048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90" name="Text Box 11">
          <a:extLst>
            <a:ext uri="{FF2B5EF4-FFF2-40B4-BE49-F238E27FC236}">
              <a16:creationId xmlns:a16="http://schemas.microsoft.com/office/drawing/2014/main" id="{00000000-0008-0000-0100-00005A000000}"/>
            </a:ext>
          </a:extLst>
        </xdr:cNvPr>
        <xdr:cNvSpPr txBox="1">
          <a:spLocks noChangeArrowheads="1"/>
        </xdr:cNvSpPr>
      </xdr:nvSpPr>
      <xdr:spPr bwMode="auto">
        <a:xfrm>
          <a:off x="8248650" y="4533900"/>
          <a:ext cx="7048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91" name="Text Box 9">
          <a:extLst>
            <a:ext uri="{FF2B5EF4-FFF2-40B4-BE49-F238E27FC236}">
              <a16:creationId xmlns:a16="http://schemas.microsoft.com/office/drawing/2014/main" id="{00000000-0008-0000-0100-00005B000000}"/>
            </a:ext>
          </a:extLst>
        </xdr:cNvPr>
        <xdr:cNvSpPr txBox="1">
          <a:spLocks noChangeArrowheads="1"/>
        </xdr:cNvSpPr>
      </xdr:nvSpPr>
      <xdr:spPr bwMode="auto">
        <a:xfrm>
          <a:off x="8124825" y="3400425"/>
          <a:ext cx="714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92" name="Text Box 11">
          <a:extLst>
            <a:ext uri="{FF2B5EF4-FFF2-40B4-BE49-F238E27FC236}">
              <a16:creationId xmlns:a16="http://schemas.microsoft.com/office/drawing/2014/main" id="{00000000-0008-0000-0100-00005C000000}"/>
            </a:ext>
          </a:extLst>
        </xdr:cNvPr>
        <xdr:cNvSpPr txBox="1">
          <a:spLocks noChangeArrowheads="1"/>
        </xdr:cNvSpPr>
      </xdr:nvSpPr>
      <xdr:spPr bwMode="auto">
        <a:xfrm>
          <a:off x="8248650" y="4533900"/>
          <a:ext cx="7048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76200</xdr:colOff>
      <xdr:row>18</xdr:row>
      <xdr:rowOff>38100</xdr:rowOff>
    </xdr:from>
    <xdr:to>
      <xdr:col>38</xdr:col>
      <xdr:colOff>0</xdr:colOff>
      <xdr:row>22</xdr:row>
      <xdr:rowOff>104775</xdr:rowOff>
    </xdr:to>
    <xdr:sp macro="" textlink="">
      <xdr:nvSpPr>
        <xdr:cNvPr id="93" name="Text Box 7">
          <a:extLst>
            <a:ext uri="{FF2B5EF4-FFF2-40B4-BE49-F238E27FC236}">
              <a16:creationId xmlns:a16="http://schemas.microsoft.com/office/drawing/2014/main" id="{00000000-0008-0000-0100-00005D000000}"/>
            </a:ext>
          </a:extLst>
        </xdr:cNvPr>
        <xdr:cNvSpPr txBox="1">
          <a:spLocks noChangeArrowheads="1"/>
        </xdr:cNvSpPr>
      </xdr:nvSpPr>
      <xdr:spPr bwMode="auto">
        <a:xfrm>
          <a:off x="8915400" y="2495550"/>
          <a:ext cx="381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85725</xdr:colOff>
      <xdr:row>28</xdr:row>
      <xdr:rowOff>47625</xdr:rowOff>
    </xdr:from>
    <xdr:to>
      <xdr:col>38</xdr:col>
      <xdr:colOff>266700</xdr:colOff>
      <xdr:row>34</xdr:row>
      <xdr:rowOff>28575</xdr:rowOff>
    </xdr:to>
    <xdr:sp macro="" textlink="">
      <xdr:nvSpPr>
        <xdr:cNvPr id="94" name="Text Box 111">
          <a:extLst>
            <a:ext uri="{FF2B5EF4-FFF2-40B4-BE49-F238E27FC236}">
              <a16:creationId xmlns:a16="http://schemas.microsoft.com/office/drawing/2014/main" id="{00000000-0008-0000-0100-00005E000000}"/>
            </a:ext>
          </a:extLst>
        </xdr:cNvPr>
        <xdr:cNvSpPr txBox="1">
          <a:spLocks noChangeArrowheads="1"/>
        </xdr:cNvSpPr>
      </xdr:nvSpPr>
      <xdr:spPr bwMode="auto">
        <a:xfrm>
          <a:off x="8924925" y="3743325"/>
          <a:ext cx="2952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95" name="Text Box 11">
          <a:extLst>
            <a:ext uri="{FF2B5EF4-FFF2-40B4-BE49-F238E27FC236}">
              <a16:creationId xmlns:a16="http://schemas.microsoft.com/office/drawing/2014/main" id="{00000000-0008-0000-0100-00005F000000}"/>
            </a:ext>
          </a:extLst>
        </xdr:cNvPr>
        <xdr:cNvSpPr txBox="1">
          <a:spLocks noChangeArrowheads="1"/>
        </xdr:cNvSpPr>
      </xdr:nvSpPr>
      <xdr:spPr bwMode="auto">
        <a:xfrm>
          <a:off x="8248650" y="4533900"/>
          <a:ext cx="7048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96" name="Text Box 11">
          <a:extLst>
            <a:ext uri="{FF2B5EF4-FFF2-40B4-BE49-F238E27FC236}">
              <a16:creationId xmlns:a16="http://schemas.microsoft.com/office/drawing/2014/main" id="{00000000-0008-0000-0100-000060000000}"/>
            </a:ext>
          </a:extLst>
        </xdr:cNvPr>
        <xdr:cNvSpPr txBox="1">
          <a:spLocks noChangeArrowheads="1"/>
        </xdr:cNvSpPr>
      </xdr:nvSpPr>
      <xdr:spPr bwMode="auto">
        <a:xfrm>
          <a:off x="8248650" y="4533900"/>
          <a:ext cx="7048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66675</xdr:colOff>
      <xdr:row>18</xdr:row>
      <xdr:rowOff>38100</xdr:rowOff>
    </xdr:from>
    <xdr:to>
      <xdr:col>37</xdr:col>
      <xdr:colOff>104775</xdr:colOff>
      <xdr:row>22</xdr:row>
      <xdr:rowOff>104775</xdr:rowOff>
    </xdr:to>
    <xdr:sp macro="" textlink="">
      <xdr:nvSpPr>
        <xdr:cNvPr id="97" name="Text Box 7">
          <a:extLst>
            <a:ext uri="{FF2B5EF4-FFF2-40B4-BE49-F238E27FC236}">
              <a16:creationId xmlns:a16="http://schemas.microsoft.com/office/drawing/2014/main" id="{00000000-0008-0000-0100-000061000000}"/>
            </a:ext>
          </a:extLst>
        </xdr:cNvPr>
        <xdr:cNvSpPr txBox="1">
          <a:spLocks noChangeArrowheads="1"/>
        </xdr:cNvSpPr>
      </xdr:nvSpPr>
      <xdr:spPr bwMode="auto">
        <a:xfrm>
          <a:off x="8905875" y="2495550"/>
          <a:ext cx="381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85725</xdr:colOff>
      <xdr:row>28</xdr:row>
      <xdr:rowOff>47625</xdr:rowOff>
    </xdr:from>
    <xdr:to>
      <xdr:col>38</xdr:col>
      <xdr:colOff>266700</xdr:colOff>
      <xdr:row>34</xdr:row>
      <xdr:rowOff>28575</xdr:rowOff>
    </xdr:to>
    <xdr:sp macro="" textlink="">
      <xdr:nvSpPr>
        <xdr:cNvPr id="98" name="Text Box 111">
          <a:extLst>
            <a:ext uri="{FF2B5EF4-FFF2-40B4-BE49-F238E27FC236}">
              <a16:creationId xmlns:a16="http://schemas.microsoft.com/office/drawing/2014/main" id="{00000000-0008-0000-0100-000062000000}"/>
            </a:ext>
          </a:extLst>
        </xdr:cNvPr>
        <xdr:cNvSpPr txBox="1">
          <a:spLocks noChangeArrowheads="1"/>
        </xdr:cNvSpPr>
      </xdr:nvSpPr>
      <xdr:spPr bwMode="auto">
        <a:xfrm>
          <a:off x="8924925" y="3743325"/>
          <a:ext cx="2952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99" name="Text Box 11">
          <a:extLst>
            <a:ext uri="{FF2B5EF4-FFF2-40B4-BE49-F238E27FC236}">
              <a16:creationId xmlns:a16="http://schemas.microsoft.com/office/drawing/2014/main" id="{00000000-0008-0000-0100-000063000000}"/>
            </a:ext>
          </a:extLst>
        </xdr:cNvPr>
        <xdr:cNvSpPr txBox="1">
          <a:spLocks noChangeArrowheads="1"/>
        </xdr:cNvSpPr>
      </xdr:nvSpPr>
      <xdr:spPr bwMode="auto">
        <a:xfrm>
          <a:off x="8248650" y="4533900"/>
          <a:ext cx="7048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00" name="Text Box 11">
          <a:extLst>
            <a:ext uri="{FF2B5EF4-FFF2-40B4-BE49-F238E27FC236}">
              <a16:creationId xmlns:a16="http://schemas.microsoft.com/office/drawing/2014/main" id="{00000000-0008-0000-0100-000064000000}"/>
            </a:ext>
          </a:extLst>
        </xdr:cNvPr>
        <xdr:cNvSpPr txBox="1">
          <a:spLocks noChangeArrowheads="1"/>
        </xdr:cNvSpPr>
      </xdr:nvSpPr>
      <xdr:spPr bwMode="auto">
        <a:xfrm>
          <a:off x="8248650" y="4533900"/>
          <a:ext cx="7048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66675</xdr:colOff>
      <xdr:row>25</xdr:row>
      <xdr:rowOff>76200</xdr:rowOff>
    </xdr:from>
    <xdr:to>
      <xdr:col>37</xdr:col>
      <xdr:colOff>66675</xdr:colOff>
      <xdr:row>29</xdr:row>
      <xdr:rowOff>104775</xdr:rowOff>
    </xdr:to>
    <xdr:sp macro="" textlink="">
      <xdr:nvSpPr>
        <xdr:cNvPr id="101" name="Text Box 9">
          <a:extLst>
            <a:ext uri="{FF2B5EF4-FFF2-40B4-BE49-F238E27FC236}">
              <a16:creationId xmlns:a16="http://schemas.microsoft.com/office/drawing/2014/main" id="{00000000-0008-0000-0100-000065000000}"/>
            </a:ext>
          </a:extLst>
        </xdr:cNvPr>
        <xdr:cNvSpPr txBox="1">
          <a:spLocks noChangeArrowheads="1"/>
        </xdr:cNvSpPr>
      </xdr:nvSpPr>
      <xdr:spPr bwMode="auto">
        <a:xfrm>
          <a:off x="8858250" y="3362325"/>
          <a:ext cx="13811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02" name="Text Box 11">
          <a:extLst>
            <a:ext uri="{FF2B5EF4-FFF2-40B4-BE49-F238E27FC236}">
              <a16:creationId xmlns:a16="http://schemas.microsoft.com/office/drawing/2014/main" id="{00000000-0008-0000-0100-000066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103" name="Text Box 9">
          <a:extLst>
            <a:ext uri="{FF2B5EF4-FFF2-40B4-BE49-F238E27FC236}">
              <a16:creationId xmlns:a16="http://schemas.microsoft.com/office/drawing/2014/main" id="{00000000-0008-0000-0100-000067000000}"/>
            </a:ext>
          </a:extLst>
        </xdr:cNvPr>
        <xdr:cNvSpPr txBox="1">
          <a:spLocks noChangeArrowheads="1"/>
        </xdr:cNvSpPr>
      </xdr:nvSpPr>
      <xdr:spPr bwMode="auto">
        <a:xfrm>
          <a:off x="8791575" y="3362325"/>
          <a:ext cx="138112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04" name="Text Box 11">
          <a:extLst>
            <a:ext uri="{FF2B5EF4-FFF2-40B4-BE49-F238E27FC236}">
              <a16:creationId xmlns:a16="http://schemas.microsoft.com/office/drawing/2014/main" id="{00000000-0008-0000-0100-000068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05" name="Text Box 11">
          <a:extLst>
            <a:ext uri="{FF2B5EF4-FFF2-40B4-BE49-F238E27FC236}">
              <a16:creationId xmlns:a16="http://schemas.microsoft.com/office/drawing/2014/main" id="{00000000-0008-0000-0100-000069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06" name="Text Box 11">
          <a:extLst>
            <a:ext uri="{FF2B5EF4-FFF2-40B4-BE49-F238E27FC236}">
              <a16:creationId xmlns:a16="http://schemas.microsoft.com/office/drawing/2014/main" id="{00000000-0008-0000-0100-00006A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07" name="Text Box 11">
          <a:extLst>
            <a:ext uri="{FF2B5EF4-FFF2-40B4-BE49-F238E27FC236}">
              <a16:creationId xmlns:a16="http://schemas.microsoft.com/office/drawing/2014/main" id="{00000000-0008-0000-0100-00006B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08" name="Text Box 11">
          <a:extLst>
            <a:ext uri="{FF2B5EF4-FFF2-40B4-BE49-F238E27FC236}">
              <a16:creationId xmlns:a16="http://schemas.microsoft.com/office/drawing/2014/main" id="{00000000-0008-0000-0100-00006C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0" name="Text Box 11">
          <a:extLst>
            <a:ext uri="{FF2B5EF4-FFF2-40B4-BE49-F238E27FC236}">
              <a16:creationId xmlns:a16="http://schemas.microsoft.com/office/drawing/2014/main" id="{00000000-0008-0000-0100-000078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1" name="Text Box 11">
          <a:extLst>
            <a:ext uri="{FF2B5EF4-FFF2-40B4-BE49-F238E27FC236}">
              <a16:creationId xmlns:a16="http://schemas.microsoft.com/office/drawing/2014/main" id="{00000000-0008-0000-0100-000079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2" name="Text Box 11">
          <a:extLst>
            <a:ext uri="{FF2B5EF4-FFF2-40B4-BE49-F238E27FC236}">
              <a16:creationId xmlns:a16="http://schemas.microsoft.com/office/drawing/2014/main" id="{00000000-0008-0000-0100-00007A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3" name="Text Box 11">
          <a:extLst>
            <a:ext uri="{FF2B5EF4-FFF2-40B4-BE49-F238E27FC236}">
              <a16:creationId xmlns:a16="http://schemas.microsoft.com/office/drawing/2014/main" id="{00000000-0008-0000-0100-00007B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4" name="Text Box 11">
          <a:extLst>
            <a:ext uri="{FF2B5EF4-FFF2-40B4-BE49-F238E27FC236}">
              <a16:creationId xmlns:a16="http://schemas.microsoft.com/office/drawing/2014/main" id="{00000000-0008-0000-0100-00007C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5" name="Text Box 11">
          <a:extLst>
            <a:ext uri="{FF2B5EF4-FFF2-40B4-BE49-F238E27FC236}">
              <a16:creationId xmlns:a16="http://schemas.microsoft.com/office/drawing/2014/main" id="{00000000-0008-0000-0100-00007D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7" name="Text Box 11">
          <a:extLst>
            <a:ext uri="{FF2B5EF4-FFF2-40B4-BE49-F238E27FC236}">
              <a16:creationId xmlns:a16="http://schemas.microsoft.com/office/drawing/2014/main" id="{00000000-0008-0000-0100-00007F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8" name="Text Box 11">
          <a:extLst>
            <a:ext uri="{FF2B5EF4-FFF2-40B4-BE49-F238E27FC236}">
              <a16:creationId xmlns:a16="http://schemas.microsoft.com/office/drawing/2014/main" id="{00000000-0008-0000-0100-000080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29" name="Text Box 11">
          <a:extLst>
            <a:ext uri="{FF2B5EF4-FFF2-40B4-BE49-F238E27FC236}">
              <a16:creationId xmlns:a16="http://schemas.microsoft.com/office/drawing/2014/main" id="{00000000-0008-0000-0100-000081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0" name="Text Box 11">
          <a:extLst>
            <a:ext uri="{FF2B5EF4-FFF2-40B4-BE49-F238E27FC236}">
              <a16:creationId xmlns:a16="http://schemas.microsoft.com/office/drawing/2014/main" id="{00000000-0008-0000-0100-000082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1" name="Text Box 11">
          <a:extLst>
            <a:ext uri="{FF2B5EF4-FFF2-40B4-BE49-F238E27FC236}">
              <a16:creationId xmlns:a16="http://schemas.microsoft.com/office/drawing/2014/main" id="{00000000-0008-0000-0100-000083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2" name="Text Box 11">
          <a:extLst>
            <a:ext uri="{FF2B5EF4-FFF2-40B4-BE49-F238E27FC236}">
              <a16:creationId xmlns:a16="http://schemas.microsoft.com/office/drawing/2014/main" id="{00000000-0008-0000-0100-000084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3" name="Text Box 11">
          <a:extLst>
            <a:ext uri="{FF2B5EF4-FFF2-40B4-BE49-F238E27FC236}">
              <a16:creationId xmlns:a16="http://schemas.microsoft.com/office/drawing/2014/main" id="{00000000-0008-0000-0100-000085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4" name="Text Box 11">
          <a:extLst>
            <a:ext uri="{FF2B5EF4-FFF2-40B4-BE49-F238E27FC236}">
              <a16:creationId xmlns:a16="http://schemas.microsoft.com/office/drawing/2014/main" id="{00000000-0008-0000-0100-000086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5" name="Text Box 11">
          <a:extLst>
            <a:ext uri="{FF2B5EF4-FFF2-40B4-BE49-F238E27FC236}">
              <a16:creationId xmlns:a16="http://schemas.microsoft.com/office/drawing/2014/main" id="{00000000-0008-0000-0100-000087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6" name="Text Box 11">
          <a:extLst>
            <a:ext uri="{FF2B5EF4-FFF2-40B4-BE49-F238E27FC236}">
              <a16:creationId xmlns:a16="http://schemas.microsoft.com/office/drawing/2014/main" id="{00000000-0008-0000-0100-000088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7" name="Text Box 11">
          <a:extLst>
            <a:ext uri="{FF2B5EF4-FFF2-40B4-BE49-F238E27FC236}">
              <a16:creationId xmlns:a16="http://schemas.microsoft.com/office/drawing/2014/main" id="{00000000-0008-0000-0100-000089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38" name="Text Box 11">
          <a:extLst>
            <a:ext uri="{FF2B5EF4-FFF2-40B4-BE49-F238E27FC236}">
              <a16:creationId xmlns:a16="http://schemas.microsoft.com/office/drawing/2014/main" id="{00000000-0008-0000-0100-00008A000000}"/>
            </a:ext>
          </a:extLst>
        </xdr:cNvPr>
        <xdr:cNvSpPr txBox="1">
          <a:spLocks noChangeArrowheads="1"/>
        </xdr:cNvSpPr>
      </xdr:nvSpPr>
      <xdr:spPr bwMode="auto">
        <a:xfrm>
          <a:off x="8915400" y="44958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76200</xdr:colOff>
      <xdr:row>18</xdr:row>
      <xdr:rowOff>38100</xdr:rowOff>
    </xdr:from>
    <xdr:to>
      <xdr:col>38</xdr:col>
      <xdr:colOff>0</xdr:colOff>
      <xdr:row>22</xdr:row>
      <xdr:rowOff>104775</xdr:rowOff>
    </xdr:to>
    <xdr:sp macro="" textlink="">
      <xdr:nvSpPr>
        <xdr:cNvPr id="126" name="Text Box 7">
          <a:extLst>
            <a:ext uri="{FF2B5EF4-FFF2-40B4-BE49-F238E27FC236}">
              <a16:creationId xmlns:a16="http://schemas.microsoft.com/office/drawing/2014/main" id="{00000000-0008-0000-0100-00007E000000}"/>
            </a:ext>
          </a:extLst>
        </xdr:cNvPr>
        <xdr:cNvSpPr txBox="1">
          <a:spLocks noChangeArrowheads="1"/>
        </xdr:cNvSpPr>
      </xdr:nvSpPr>
      <xdr:spPr bwMode="auto">
        <a:xfrm>
          <a:off x="13515975" y="2495550"/>
          <a:ext cx="381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148" name="Text Box 9">
          <a:extLst>
            <a:ext uri="{FF2B5EF4-FFF2-40B4-BE49-F238E27FC236}">
              <a16:creationId xmlns:a16="http://schemas.microsoft.com/office/drawing/2014/main" id="{00000000-0008-0000-0100-000094000000}"/>
            </a:ext>
          </a:extLst>
        </xdr:cNvPr>
        <xdr:cNvSpPr txBox="1">
          <a:spLocks noChangeArrowheads="1"/>
        </xdr:cNvSpPr>
      </xdr:nvSpPr>
      <xdr:spPr bwMode="auto">
        <a:xfrm>
          <a:off x="12058650" y="3400425"/>
          <a:ext cx="138112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85725</xdr:colOff>
      <xdr:row>28</xdr:row>
      <xdr:rowOff>47625</xdr:rowOff>
    </xdr:from>
    <xdr:to>
      <xdr:col>38</xdr:col>
      <xdr:colOff>266700</xdr:colOff>
      <xdr:row>34</xdr:row>
      <xdr:rowOff>28575</xdr:rowOff>
    </xdr:to>
    <xdr:sp macro="" textlink="">
      <xdr:nvSpPr>
        <xdr:cNvPr id="150" name="Text Box 111">
          <a:extLst>
            <a:ext uri="{FF2B5EF4-FFF2-40B4-BE49-F238E27FC236}">
              <a16:creationId xmlns:a16="http://schemas.microsoft.com/office/drawing/2014/main" id="{00000000-0008-0000-0100-000096000000}"/>
            </a:ext>
          </a:extLst>
        </xdr:cNvPr>
        <xdr:cNvSpPr txBox="1">
          <a:spLocks noChangeArrowheads="1"/>
        </xdr:cNvSpPr>
      </xdr:nvSpPr>
      <xdr:spPr bwMode="auto">
        <a:xfrm>
          <a:off x="13525500" y="3743325"/>
          <a:ext cx="2952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133350</xdr:colOff>
      <xdr:row>34</xdr:row>
      <xdr:rowOff>76200</xdr:rowOff>
    </xdr:from>
    <xdr:to>
      <xdr:col>38</xdr:col>
      <xdr:colOff>9525</xdr:colOff>
      <xdr:row>40</xdr:row>
      <xdr:rowOff>57150</xdr:rowOff>
    </xdr:to>
    <xdr:sp macro="" textlink="">
      <xdr:nvSpPr>
        <xdr:cNvPr id="151" name="Text Box 11">
          <a:extLst>
            <a:ext uri="{FF2B5EF4-FFF2-40B4-BE49-F238E27FC236}">
              <a16:creationId xmlns:a16="http://schemas.microsoft.com/office/drawing/2014/main" id="{00000000-0008-0000-0100-000097000000}"/>
            </a:ext>
          </a:extLst>
        </xdr:cNvPr>
        <xdr:cNvSpPr txBox="1">
          <a:spLocks noChangeArrowheads="1"/>
        </xdr:cNvSpPr>
      </xdr:nvSpPr>
      <xdr:spPr bwMode="auto">
        <a:xfrm>
          <a:off x="12192000" y="451485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31</xdr:col>
      <xdr:colOff>85725</xdr:colOff>
      <xdr:row>61</xdr:row>
      <xdr:rowOff>66675</xdr:rowOff>
    </xdr:from>
    <xdr:to>
      <xdr:col>31</xdr:col>
      <xdr:colOff>587952</xdr:colOff>
      <xdr:row>63</xdr:row>
      <xdr:rowOff>161925</xdr:rowOff>
    </xdr:to>
    <xdr:sp macro="" textlink="">
      <xdr:nvSpPr>
        <xdr:cNvPr id="161" name="Large_out">
          <a:extLst>
            <a:ext uri="{FF2B5EF4-FFF2-40B4-BE49-F238E27FC236}">
              <a16:creationId xmlns:a16="http://schemas.microsoft.com/office/drawing/2014/main" id="{00000000-0008-0000-0100-0000A1000000}"/>
            </a:ext>
          </a:extLst>
        </xdr:cNvPr>
        <xdr:cNvSpPr/>
      </xdr:nvSpPr>
      <xdr:spPr>
        <a:xfrm>
          <a:off x="7905750" y="7839075"/>
          <a:ext cx="502227" cy="476250"/>
        </a:xfrm>
        <a:prstGeom prst="ellipse">
          <a:avLst/>
        </a:prstGeom>
        <a:noFill/>
        <a:ln w="19050" cap="flat" cmpd="sng" algn="ctr">
          <a:solidFill>
            <a:srgbClr val="FFFFFF"/>
          </a:solidFill>
          <a:prstDash val="dash"/>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31</xdr:col>
          <xdr:colOff>66675</xdr:colOff>
          <xdr:row>2</xdr:row>
          <xdr:rowOff>95250</xdr:rowOff>
        </xdr:from>
        <xdr:to>
          <xdr:col>31</xdr:col>
          <xdr:colOff>800100</xdr:colOff>
          <xdr:row>4</xdr:row>
          <xdr:rowOff>47625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8000"/>
                  </a:solidFill>
                  <a:latin typeface="Calibri"/>
                  <a:cs typeface="Calibri"/>
                </a:rPr>
                <a:t>SAVE</a:t>
              </a:r>
            </a:p>
            <a:p>
              <a:pPr algn="ctr" rtl="0">
                <a:defRPr sz="1000"/>
              </a:pPr>
              <a:endParaRPr lang="es-CO" sz="1200" b="1" i="0" u="none" strike="noStrike" baseline="0">
                <a:solidFill>
                  <a:srgbClr val="008000"/>
                </a:solidFill>
                <a:latin typeface="Calibri"/>
                <a:cs typeface="Calibri"/>
              </a:endParaRPr>
            </a:p>
          </xdr:txBody>
        </xdr:sp>
        <xdr:clientData fPrintsWithSheet="0"/>
      </xdr:twoCellAnchor>
    </mc:Choice>
    <mc:Fallback/>
  </mc:AlternateContent>
  <xdr:twoCellAnchor>
    <xdr:from>
      <xdr:col>31</xdr:col>
      <xdr:colOff>95250</xdr:colOff>
      <xdr:row>61</xdr:row>
      <xdr:rowOff>28575</xdr:rowOff>
    </xdr:from>
    <xdr:to>
      <xdr:col>31</xdr:col>
      <xdr:colOff>597477</xdr:colOff>
      <xdr:row>63</xdr:row>
      <xdr:rowOff>123825</xdr:rowOff>
    </xdr:to>
    <xdr:sp macro="" textlink="">
      <xdr:nvSpPr>
        <xdr:cNvPr id="162" name="Large_out">
          <a:extLst>
            <a:ext uri="{FF2B5EF4-FFF2-40B4-BE49-F238E27FC236}">
              <a16:creationId xmlns:a16="http://schemas.microsoft.com/office/drawing/2014/main" id="{00000000-0008-0000-0100-0000A2000000}"/>
            </a:ext>
          </a:extLst>
        </xdr:cNvPr>
        <xdr:cNvSpPr/>
      </xdr:nvSpPr>
      <xdr:spPr>
        <a:xfrm>
          <a:off x="7915275" y="7800975"/>
          <a:ext cx="502227" cy="476250"/>
        </a:xfrm>
        <a:prstGeom prst="ellipse">
          <a:avLst/>
        </a:prstGeom>
        <a:noFill/>
        <a:ln w="19050" cap="flat" cmpd="sng" algn="ctr">
          <a:no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endParaRPr lang="en-US" sz="1100">
            <a:solidFill>
              <a:sysClr val="windowText" lastClr="000000"/>
            </a:solidFill>
          </a:endParaRPr>
        </a:p>
      </xdr:txBody>
    </xdr:sp>
    <xdr:clientData/>
  </xdr:twoCellAnchor>
  <xdr:twoCellAnchor>
    <xdr:from>
      <xdr:col>36</xdr:col>
      <xdr:colOff>0</xdr:colOff>
      <xdr:row>25</xdr:row>
      <xdr:rowOff>76200</xdr:rowOff>
    </xdr:from>
    <xdr:to>
      <xdr:col>37</xdr:col>
      <xdr:colOff>0</xdr:colOff>
      <xdr:row>30</xdr:row>
      <xdr:rowOff>9525</xdr:rowOff>
    </xdr:to>
    <xdr:sp macro="" textlink="">
      <xdr:nvSpPr>
        <xdr:cNvPr id="163" name="Text Box 9">
          <a:extLst>
            <a:ext uri="{FF2B5EF4-FFF2-40B4-BE49-F238E27FC236}">
              <a16:creationId xmlns:a16="http://schemas.microsoft.com/office/drawing/2014/main" id="{00000000-0008-0000-0100-0000A3000000}"/>
            </a:ext>
          </a:extLst>
        </xdr:cNvPr>
        <xdr:cNvSpPr txBox="1">
          <a:spLocks noChangeArrowheads="1"/>
        </xdr:cNvSpPr>
      </xdr:nvSpPr>
      <xdr:spPr bwMode="auto">
        <a:xfrm>
          <a:off x="12058650" y="3400425"/>
          <a:ext cx="138112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66" name="Text Box 11">
          <a:extLst>
            <a:ext uri="{FF2B5EF4-FFF2-40B4-BE49-F238E27FC236}">
              <a16:creationId xmlns:a16="http://schemas.microsoft.com/office/drawing/2014/main" id="{00000000-0008-0000-0100-0000A6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176" name="Text Box 9">
          <a:extLst>
            <a:ext uri="{FF2B5EF4-FFF2-40B4-BE49-F238E27FC236}">
              <a16:creationId xmlns:a16="http://schemas.microsoft.com/office/drawing/2014/main" id="{00000000-0008-0000-0100-0000B0000000}"/>
            </a:ext>
          </a:extLst>
        </xdr:cNvPr>
        <xdr:cNvSpPr txBox="1">
          <a:spLocks noChangeArrowheads="1"/>
        </xdr:cNvSpPr>
      </xdr:nvSpPr>
      <xdr:spPr bwMode="auto">
        <a:xfrm>
          <a:off x="12058650" y="3400425"/>
          <a:ext cx="138112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77" name="Text Box 11">
          <a:extLst>
            <a:ext uri="{FF2B5EF4-FFF2-40B4-BE49-F238E27FC236}">
              <a16:creationId xmlns:a16="http://schemas.microsoft.com/office/drawing/2014/main" id="{00000000-0008-0000-0100-0000B1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178" name="Text Box 9">
          <a:extLst>
            <a:ext uri="{FF2B5EF4-FFF2-40B4-BE49-F238E27FC236}">
              <a16:creationId xmlns:a16="http://schemas.microsoft.com/office/drawing/2014/main" id="{00000000-0008-0000-0100-0000B2000000}"/>
            </a:ext>
          </a:extLst>
        </xdr:cNvPr>
        <xdr:cNvSpPr txBox="1">
          <a:spLocks noChangeArrowheads="1"/>
        </xdr:cNvSpPr>
      </xdr:nvSpPr>
      <xdr:spPr bwMode="auto">
        <a:xfrm>
          <a:off x="12058650" y="3400425"/>
          <a:ext cx="138112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79" name="Text Box 11">
          <a:extLst>
            <a:ext uri="{FF2B5EF4-FFF2-40B4-BE49-F238E27FC236}">
              <a16:creationId xmlns:a16="http://schemas.microsoft.com/office/drawing/2014/main" id="{00000000-0008-0000-0100-0000B3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80" name="Text Box 11">
          <a:extLst>
            <a:ext uri="{FF2B5EF4-FFF2-40B4-BE49-F238E27FC236}">
              <a16:creationId xmlns:a16="http://schemas.microsoft.com/office/drawing/2014/main" id="{00000000-0008-0000-0100-0000B4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0</xdr:colOff>
      <xdr:row>25</xdr:row>
      <xdr:rowOff>76200</xdr:rowOff>
    </xdr:from>
    <xdr:to>
      <xdr:col>37</xdr:col>
      <xdr:colOff>0</xdr:colOff>
      <xdr:row>30</xdr:row>
      <xdr:rowOff>9525</xdr:rowOff>
    </xdr:to>
    <xdr:sp macro="" textlink="">
      <xdr:nvSpPr>
        <xdr:cNvPr id="181" name="Text Box 9">
          <a:extLst>
            <a:ext uri="{FF2B5EF4-FFF2-40B4-BE49-F238E27FC236}">
              <a16:creationId xmlns:a16="http://schemas.microsoft.com/office/drawing/2014/main" id="{00000000-0008-0000-0100-0000B5000000}"/>
            </a:ext>
          </a:extLst>
        </xdr:cNvPr>
        <xdr:cNvSpPr txBox="1">
          <a:spLocks noChangeArrowheads="1"/>
        </xdr:cNvSpPr>
      </xdr:nvSpPr>
      <xdr:spPr bwMode="auto">
        <a:xfrm>
          <a:off x="12058650" y="3400425"/>
          <a:ext cx="138112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82" name="Text Box 11">
          <a:extLst>
            <a:ext uri="{FF2B5EF4-FFF2-40B4-BE49-F238E27FC236}">
              <a16:creationId xmlns:a16="http://schemas.microsoft.com/office/drawing/2014/main" id="{00000000-0008-0000-0100-0000B6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76200</xdr:colOff>
      <xdr:row>18</xdr:row>
      <xdr:rowOff>38100</xdr:rowOff>
    </xdr:from>
    <xdr:to>
      <xdr:col>38</xdr:col>
      <xdr:colOff>0</xdr:colOff>
      <xdr:row>22</xdr:row>
      <xdr:rowOff>104775</xdr:rowOff>
    </xdr:to>
    <xdr:sp macro="" textlink="">
      <xdr:nvSpPr>
        <xdr:cNvPr id="183" name="Text Box 7">
          <a:extLst>
            <a:ext uri="{FF2B5EF4-FFF2-40B4-BE49-F238E27FC236}">
              <a16:creationId xmlns:a16="http://schemas.microsoft.com/office/drawing/2014/main" id="{00000000-0008-0000-0100-0000B7000000}"/>
            </a:ext>
          </a:extLst>
        </xdr:cNvPr>
        <xdr:cNvSpPr txBox="1">
          <a:spLocks noChangeArrowheads="1"/>
        </xdr:cNvSpPr>
      </xdr:nvSpPr>
      <xdr:spPr bwMode="auto">
        <a:xfrm>
          <a:off x="13515975" y="2495550"/>
          <a:ext cx="381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85725</xdr:colOff>
      <xdr:row>28</xdr:row>
      <xdr:rowOff>47625</xdr:rowOff>
    </xdr:from>
    <xdr:to>
      <xdr:col>38</xdr:col>
      <xdr:colOff>266700</xdr:colOff>
      <xdr:row>34</xdr:row>
      <xdr:rowOff>28575</xdr:rowOff>
    </xdr:to>
    <xdr:sp macro="" textlink="">
      <xdr:nvSpPr>
        <xdr:cNvPr id="184" name="Text Box 111">
          <a:extLst>
            <a:ext uri="{FF2B5EF4-FFF2-40B4-BE49-F238E27FC236}">
              <a16:creationId xmlns:a16="http://schemas.microsoft.com/office/drawing/2014/main" id="{00000000-0008-0000-0100-0000B8000000}"/>
            </a:ext>
          </a:extLst>
        </xdr:cNvPr>
        <xdr:cNvSpPr txBox="1">
          <a:spLocks noChangeArrowheads="1"/>
        </xdr:cNvSpPr>
      </xdr:nvSpPr>
      <xdr:spPr bwMode="auto">
        <a:xfrm>
          <a:off x="13525500" y="3743325"/>
          <a:ext cx="2952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85" name="Text Box 11">
          <a:extLst>
            <a:ext uri="{FF2B5EF4-FFF2-40B4-BE49-F238E27FC236}">
              <a16:creationId xmlns:a16="http://schemas.microsoft.com/office/drawing/2014/main" id="{00000000-0008-0000-0100-0000B9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86" name="Text Box 11">
          <a:extLst>
            <a:ext uri="{FF2B5EF4-FFF2-40B4-BE49-F238E27FC236}">
              <a16:creationId xmlns:a16="http://schemas.microsoft.com/office/drawing/2014/main" id="{00000000-0008-0000-0100-0000BA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66675</xdr:colOff>
      <xdr:row>18</xdr:row>
      <xdr:rowOff>38100</xdr:rowOff>
    </xdr:from>
    <xdr:to>
      <xdr:col>37</xdr:col>
      <xdr:colOff>104775</xdr:colOff>
      <xdr:row>22</xdr:row>
      <xdr:rowOff>104775</xdr:rowOff>
    </xdr:to>
    <xdr:sp macro="" textlink="">
      <xdr:nvSpPr>
        <xdr:cNvPr id="187" name="Text Box 7">
          <a:extLst>
            <a:ext uri="{FF2B5EF4-FFF2-40B4-BE49-F238E27FC236}">
              <a16:creationId xmlns:a16="http://schemas.microsoft.com/office/drawing/2014/main" id="{00000000-0008-0000-0100-0000BB000000}"/>
            </a:ext>
          </a:extLst>
        </xdr:cNvPr>
        <xdr:cNvSpPr txBox="1">
          <a:spLocks noChangeArrowheads="1"/>
        </xdr:cNvSpPr>
      </xdr:nvSpPr>
      <xdr:spPr bwMode="auto">
        <a:xfrm>
          <a:off x="13506450" y="2495550"/>
          <a:ext cx="381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37</xdr:col>
      <xdr:colOff>85725</xdr:colOff>
      <xdr:row>28</xdr:row>
      <xdr:rowOff>47625</xdr:rowOff>
    </xdr:from>
    <xdr:to>
      <xdr:col>38</xdr:col>
      <xdr:colOff>266700</xdr:colOff>
      <xdr:row>34</xdr:row>
      <xdr:rowOff>28575</xdr:rowOff>
    </xdr:to>
    <xdr:sp macro="" textlink="">
      <xdr:nvSpPr>
        <xdr:cNvPr id="188" name="Text Box 111">
          <a:extLst>
            <a:ext uri="{FF2B5EF4-FFF2-40B4-BE49-F238E27FC236}">
              <a16:creationId xmlns:a16="http://schemas.microsoft.com/office/drawing/2014/main" id="{00000000-0008-0000-0100-0000BC000000}"/>
            </a:ext>
          </a:extLst>
        </xdr:cNvPr>
        <xdr:cNvSpPr txBox="1">
          <a:spLocks noChangeArrowheads="1"/>
        </xdr:cNvSpPr>
      </xdr:nvSpPr>
      <xdr:spPr bwMode="auto">
        <a:xfrm>
          <a:off x="13525500" y="3743325"/>
          <a:ext cx="2952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89" name="Text Box 11">
          <a:extLst>
            <a:ext uri="{FF2B5EF4-FFF2-40B4-BE49-F238E27FC236}">
              <a16:creationId xmlns:a16="http://schemas.microsoft.com/office/drawing/2014/main" id="{00000000-0008-0000-0100-0000BD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90" name="Text Box 11">
          <a:extLst>
            <a:ext uri="{FF2B5EF4-FFF2-40B4-BE49-F238E27FC236}">
              <a16:creationId xmlns:a16="http://schemas.microsoft.com/office/drawing/2014/main" id="{00000000-0008-0000-0100-0000BE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66675</xdr:colOff>
      <xdr:row>25</xdr:row>
      <xdr:rowOff>76200</xdr:rowOff>
    </xdr:from>
    <xdr:to>
      <xdr:col>37</xdr:col>
      <xdr:colOff>66675</xdr:colOff>
      <xdr:row>29</xdr:row>
      <xdr:rowOff>104775</xdr:rowOff>
    </xdr:to>
    <xdr:sp macro="" textlink="">
      <xdr:nvSpPr>
        <xdr:cNvPr id="191" name="Text Box 9">
          <a:extLst>
            <a:ext uri="{FF2B5EF4-FFF2-40B4-BE49-F238E27FC236}">
              <a16:creationId xmlns:a16="http://schemas.microsoft.com/office/drawing/2014/main" id="{00000000-0008-0000-0100-0000BF000000}"/>
            </a:ext>
          </a:extLst>
        </xdr:cNvPr>
        <xdr:cNvSpPr txBox="1">
          <a:spLocks noChangeArrowheads="1"/>
        </xdr:cNvSpPr>
      </xdr:nvSpPr>
      <xdr:spPr bwMode="auto">
        <a:xfrm>
          <a:off x="12125325" y="3400425"/>
          <a:ext cx="13811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92" name="Text Box 11">
          <a:extLst>
            <a:ext uri="{FF2B5EF4-FFF2-40B4-BE49-F238E27FC236}">
              <a16:creationId xmlns:a16="http://schemas.microsoft.com/office/drawing/2014/main" id="{00000000-0008-0000-0100-0000C0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9525</xdr:colOff>
      <xdr:row>25</xdr:row>
      <xdr:rowOff>76200</xdr:rowOff>
    </xdr:from>
    <xdr:to>
      <xdr:col>37</xdr:col>
      <xdr:colOff>9525</xdr:colOff>
      <xdr:row>30</xdr:row>
      <xdr:rowOff>9525</xdr:rowOff>
    </xdr:to>
    <xdr:sp macro="" textlink="">
      <xdr:nvSpPr>
        <xdr:cNvPr id="193" name="Text Box 9">
          <a:extLst>
            <a:ext uri="{FF2B5EF4-FFF2-40B4-BE49-F238E27FC236}">
              <a16:creationId xmlns:a16="http://schemas.microsoft.com/office/drawing/2014/main" id="{00000000-0008-0000-0100-0000C1000000}"/>
            </a:ext>
          </a:extLst>
        </xdr:cNvPr>
        <xdr:cNvSpPr txBox="1">
          <a:spLocks noChangeArrowheads="1"/>
        </xdr:cNvSpPr>
      </xdr:nvSpPr>
      <xdr:spPr bwMode="auto">
        <a:xfrm>
          <a:off x="12068175" y="3400425"/>
          <a:ext cx="138112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94" name="Text Box 11">
          <a:extLst>
            <a:ext uri="{FF2B5EF4-FFF2-40B4-BE49-F238E27FC236}">
              <a16:creationId xmlns:a16="http://schemas.microsoft.com/office/drawing/2014/main" id="{00000000-0008-0000-0100-0000C2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95" name="Text Box 11">
          <a:extLst>
            <a:ext uri="{FF2B5EF4-FFF2-40B4-BE49-F238E27FC236}">
              <a16:creationId xmlns:a16="http://schemas.microsoft.com/office/drawing/2014/main" id="{00000000-0008-0000-0100-0000C3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96" name="Text Box 11">
          <a:extLst>
            <a:ext uri="{FF2B5EF4-FFF2-40B4-BE49-F238E27FC236}">
              <a16:creationId xmlns:a16="http://schemas.microsoft.com/office/drawing/2014/main" id="{00000000-0008-0000-0100-0000C4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97" name="Text Box 11">
          <a:extLst>
            <a:ext uri="{FF2B5EF4-FFF2-40B4-BE49-F238E27FC236}">
              <a16:creationId xmlns:a16="http://schemas.microsoft.com/office/drawing/2014/main" id="{00000000-0008-0000-0100-0000C5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98" name="Text Box 11">
          <a:extLst>
            <a:ext uri="{FF2B5EF4-FFF2-40B4-BE49-F238E27FC236}">
              <a16:creationId xmlns:a16="http://schemas.microsoft.com/office/drawing/2014/main" id="{00000000-0008-0000-0100-0000C6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199" name="Text Box 11">
          <a:extLst>
            <a:ext uri="{FF2B5EF4-FFF2-40B4-BE49-F238E27FC236}">
              <a16:creationId xmlns:a16="http://schemas.microsoft.com/office/drawing/2014/main" id="{00000000-0008-0000-0100-0000C7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0" name="Text Box 11">
          <a:extLst>
            <a:ext uri="{FF2B5EF4-FFF2-40B4-BE49-F238E27FC236}">
              <a16:creationId xmlns:a16="http://schemas.microsoft.com/office/drawing/2014/main" id="{00000000-0008-0000-0100-0000C8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1" name="Text Box 11">
          <a:extLst>
            <a:ext uri="{FF2B5EF4-FFF2-40B4-BE49-F238E27FC236}">
              <a16:creationId xmlns:a16="http://schemas.microsoft.com/office/drawing/2014/main" id="{00000000-0008-0000-0100-0000C9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2" name="Text Box 11">
          <a:extLst>
            <a:ext uri="{FF2B5EF4-FFF2-40B4-BE49-F238E27FC236}">
              <a16:creationId xmlns:a16="http://schemas.microsoft.com/office/drawing/2014/main" id="{00000000-0008-0000-0100-0000CA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3" name="Text Box 11">
          <a:extLst>
            <a:ext uri="{FF2B5EF4-FFF2-40B4-BE49-F238E27FC236}">
              <a16:creationId xmlns:a16="http://schemas.microsoft.com/office/drawing/2014/main" id="{00000000-0008-0000-0100-0000CB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4" name="Text Box 11">
          <a:extLst>
            <a:ext uri="{FF2B5EF4-FFF2-40B4-BE49-F238E27FC236}">
              <a16:creationId xmlns:a16="http://schemas.microsoft.com/office/drawing/2014/main" id="{00000000-0008-0000-0100-0000CC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5" name="Text Box 11">
          <a:extLst>
            <a:ext uri="{FF2B5EF4-FFF2-40B4-BE49-F238E27FC236}">
              <a16:creationId xmlns:a16="http://schemas.microsoft.com/office/drawing/2014/main" id="{00000000-0008-0000-0100-0000CD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6" name="Text Box 11">
          <a:extLst>
            <a:ext uri="{FF2B5EF4-FFF2-40B4-BE49-F238E27FC236}">
              <a16:creationId xmlns:a16="http://schemas.microsoft.com/office/drawing/2014/main" id="{00000000-0008-0000-0100-0000CE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7" name="Text Box 11">
          <a:extLst>
            <a:ext uri="{FF2B5EF4-FFF2-40B4-BE49-F238E27FC236}">
              <a16:creationId xmlns:a16="http://schemas.microsoft.com/office/drawing/2014/main" id="{00000000-0008-0000-0100-0000CF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8" name="Text Box 11">
          <a:extLst>
            <a:ext uri="{FF2B5EF4-FFF2-40B4-BE49-F238E27FC236}">
              <a16:creationId xmlns:a16="http://schemas.microsoft.com/office/drawing/2014/main" id="{00000000-0008-0000-0100-0000D0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09" name="Text Box 11">
          <a:extLst>
            <a:ext uri="{FF2B5EF4-FFF2-40B4-BE49-F238E27FC236}">
              <a16:creationId xmlns:a16="http://schemas.microsoft.com/office/drawing/2014/main" id="{00000000-0008-0000-0100-0000D1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10" name="Text Box 11">
          <a:extLst>
            <a:ext uri="{FF2B5EF4-FFF2-40B4-BE49-F238E27FC236}">
              <a16:creationId xmlns:a16="http://schemas.microsoft.com/office/drawing/2014/main" id="{00000000-0008-0000-0100-0000D2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11" name="Text Box 11">
          <a:extLst>
            <a:ext uri="{FF2B5EF4-FFF2-40B4-BE49-F238E27FC236}">
              <a16:creationId xmlns:a16="http://schemas.microsoft.com/office/drawing/2014/main" id="{00000000-0008-0000-0100-0000D3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12" name="Text Box 11">
          <a:extLst>
            <a:ext uri="{FF2B5EF4-FFF2-40B4-BE49-F238E27FC236}">
              <a16:creationId xmlns:a16="http://schemas.microsoft.com/office/drawing/2014/main" id="{00000000-0008-0000-0100-0000D4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13" name="Text Box 11">
          <a:extLst>
            <a:ext uri="{FF2B5EF4-FFF2-40B4-BE49-F238E27FC236}">
              <a16:creationId xmlns:a16="http://schemas.microsoft.com/office/drawing/2014/main" id="{00000000-0008-0000-0100-0000D5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14" name="Text Box 11">
          <a:extLst>
            <a:ext uri="{FF2B5EF4-FFF2-40B4-BE49-F238E27FC236}">
              <a16:creationId xmlns:a16="http://schemas.microsoft.com/office/drawing/2014/main" id="{00000000-0008-0000-0100-0000D6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15" name="Text Box 11">
          <a:extLst>
            <a:ext uri="{FF2B5EF4-FFF2-40B4-BE49-F238E27FC236}">
              <a16:creationId xmlns:a16="http://schemas.microsoft.com/office/drawing/2014/main" id="{00000000-0008-0000-0100-0000D7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123825</xdr:colOff>
      <xdr:row>34</xdr:row>
      <xdr:rowOff>95250</xdr:rowOff>
    </xdr:from>
    <xdr:to>
      <xdr:col>37</xdr:col>
      <xdr:colOff>304800</xdr:colOff>
      <xdr:row>40</xdr:row>
      <xdr:rowOff>76200</xdr:rowOff>
    </xdr:to>
    <xdr:sp macro="" textlink="">
      <xdr:nvSpPr>
        <xdr:cNvPr id="216" name="Text Box 11">
          <a:extLst>
            <a:ext uri="{FF2B5EF4-FFF2-40B4-BE49-F238E27FC236}">
              <a16:creationId xmlns:a16="http://schemas.microsoft.com/office/drawing/2014/main" id="{00000000-0008-0000-0100-0000D8000000}"/>
            </a:ext>
          </a:extLst>
        </xdr:cNvPr>
        <xdr:cNvSpPr txBox="1">
          <a:spLocks noChangeArrowheads="1"/>
        </xdr:cNvSpPr>
      </xdr:nvSpPr>
      <xdr:spPr bwMode="auto">
        <a:xfrm>
          <a:off x="12182475" y="4533900"/>
          <a:ext cx="13716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31</xdr:col>
      <xdr:colOff>209550</xdr:colOff>
      <xdr:row>45</xdr:row>
      <xdr:rowOff>104775</xdr:rowOff>
    </xdr:from>
    <xdr:to>
      <xdr:col>31</xdr:col>
      <xdr:colOff>711777</xdr:colOff>
      <xdr:row>49</xdr:row>
      <xdr:rowOff>85725</xdr:rowOff>
    </xdr:to>
    <xdr:sp macro="" textlink="">
      <xdr:nvSpPr>
        <xdr:cNvPr id="217" name="Large_out">
          <a:extLst>
            <a:ext uri="{FF2B5EF4-FFF2-40B4-BE49-F238E27FC236}">
              <a16:creationId xmlns:a16="http://schemas.microsoft.com/office/drawing/2014/main" id="{00000000-0008-0000-0100-0000D9000000}"/>
            </a:ext>
          </a:extLst>
        </xdr:cNvPr>
        <xdr:cNvSpPr/>
      </xdr:nvSpPr>
      <xdr:spPr>
        <a:xfrm>
          <a:off x="4762500" y="5905500"/>
          <a:ext cx="502227" cy="476250"/>
        </a:xfrm>
        <a:prstGeom prst="ellipse">
          <a:avLst/>
        </a:prstGeom>
        <a:noFill/>
        <a:ln w="12700" cap="flat" cmpd="sng" algn="ctr">
          <a:solidFill>
            <a:schemeClr val="tx1"/>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36</xdr:col>
      <xdr:colOff>66675</xdr:colOff>
      <xdr:row>31</xdr:row>
      <xdr:rowOff>76200</xdr:rowOff>
    </xdr:from>
    <xdr:to>
      <xdr:col>37</xdr:col>
      <xdr:colOff>66675</xdr:colOff>
      <xdr:row>35</xdr:row>
      <xdr:rowOff>104775</xdr:rowOff>
    </xdr:to>
    <xdr:sp macro="" textlink="">
      <xdr:nvSpPr>
        <xdr:cNvPr id="218" name="Text Box 9">
          <a:extLst>
            <a:ext uri="{FF2B5EF4-FFF2-40B4-BE49-F238E27FC236}">
              <a16:creationId xmlns:a16="http://schemas.microsoft.com/office/drawing/2014/main" id="{00000000-0008-0000-0100-0000DA000000}"/>
            </a:ext>
          </a:extLst>
        </xdr:cNvPr>
        <xdr:cNvSpPr txBox="1">
          <a:spLocks noChangeArrowheads="1"/>
        </xdr:cNvSpPr>
      </xdr:nvSpPr>
      <xdr:spPr bwMode="auto">
        <a:xfrm>
          <a:off x="12125325" y="4143375"/>
          <a:ext cx="13811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31</xdr:col>
      <xdr:colOff>200025</xdr:colOff>
      <xdr:row>38</xdr:row>
      <xdr:rowOff>104775</xdr:rowOff>
    </xdr:from>
    <xdr:to>
      <xdr:col>31</xdr:col>
      <xdr:colOff>702252</xdr:colOff>
      <xdr:row>42</xdr:row>
      <xdr:rowOff>85725</xdr:rowOff>
    </xdr:to>
    <xdr:sp macro="" textlink="">
      <xdr:nvSpPr>
        <xdr:cNvPr id="219" name="Large_out">
          <a:extLst>
            <a:ext uri="{FF2B5EF4-FFF2-40B4-BE49-F238E27FC236}">
              <a16:creationId xmlns:a16="http://schemas.microsoft.com/office/drawing/2014/main" id="{00000000-0008-0000-0100-0000DB000000}"/>
            </a:ext>
          </a:extLst>
        </xdr:cNvPr>
        <xdr:cNvSpPr/>
      </xdr:nvSpPr>
      <xdr:spPr>
        <a:xfrm>
          <a:off x="4752975" y="5038725"/>
          <a:ext cx="502227" cy="476250"/>
        </a:xfrm>
        <a:prstGeom prst="ellipse">
          <a:avLst/>
        </a:prstGeom>
        <a:noFill/>
        <a:ln w="12700" cap="flat" cmpd="sng" algn="ctr">
          <a:solidFill>
            <a:schemeClr val="tx1"/>
          </a:solidFill>
          <a:prstDash val="sysDot"/>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31</xdr:col>
      <xdr:colOff>314326</xdr:colOff>
      <xdr:row>29</xdr:row>
      <xdr:rowOff>95250</xdr:rowOff>
    </xdr:from>
    <xdr:to>
      <xdr:col>31</xdr:col>
      <xdr:colOff>603609</xdr:colOff>
      <xdr:row>31</xdr:row>
      <xdr:rowOff>121920</xdr:rowOff>
    </xdr:to>
    <xdr:sp macro="" textlink="">
      <xdr:nvSpPr>
        <xdr:cNvPr id="220" name="Large_out">
          <a:extLst>
            <a:ext uri="{FF2B5EF4-FFF2-40B4-BE49-F238E27FC236}">
              <a16:creationId xmlns:a16="http://schemas.microsoft.com/office/drawing/2014/main" id="{00000000-0008-0000-0100-0000DC000000}"/>
            </a:ext>
          </a:extLst>
        </xdr:cNvPr>
        <xdr:cNvSpPr>
          <a:spLocks noChangeAspect="1"/>
        </xdr:cNvSpPr>
      </xdr:nvSpPr>
      <xdr:spPr>
        <a:xfrm>
          <a:off x="4867276" y="3914775"/>
          <a:ext cx="289283" cy="274320"/>
        </a:xfrm>
        <a:prstGeom prst="ellipse">
          <a:avLst/>
        </a:prstGeom>
        <a:noFill/>
        <a:ln w="12700" cap="flat" cmpd="sng" algn="ctr">
          <a:solidFill>
            <a:schemeClr val="tx1"/>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31</xdr:col>
      <xdr:colOff>304800</xdr:colOff>
      <xdr:row>17</xdr:row>
      <xdr:rowOff>95250</xdr:rowOff>
    </xdr:from>
    <xdr:to>
      <xdr:col>31</xdr:col>
      <xdr:colOff>594083</xdr:colOff>
      <xdr:row>19</xdr:row>
      <xdr:rowOff>121920</xdr:rowOff>
    </xdr:to>
    <xdr:sp macro="" textlink="">
      <xdr:nvSpPr>
        <xdr:cNvPr id="221" name="Large_out">
          <a:extLst>
            <a:ext uri="{FF2B5EF4-FFF2-40B4-BE49-F238E27FC236}">
              <a16:creationId xmlns:a16="http://schemas.microsoft.com/office/drawing/2014/main" id="{00000000-0008-0000-0100-0000DD000000}"/>
            </a:ext>
          </a:extLst>
        </xdr:cNvPr>
        <xdr:cNvSpPr>
          <a:spLocks noChangeAspect="1"/>
        </xdr:cNvSpPr>
      </xdr:nvSpPr>
      <xdr:spPr>
        <a:xfrm>
          <a:off x="4857750" y="2428875"/>
          <a:ext cx="289283" cy="274320"/>
        </a:xfrm>
        <a:prstGeom prst="ellipse">
          <a:avLst/>
        </a:prstGeom>
        <a:noFill/>
        <a:ln w="12700" cap="flat" cmpd="sng" algn="ctr">
          <a:solidFill>
            <a:schemeClr val="tx1"/>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31</xdr:col>
      <xdr:colOff>304800</xdr:colOff>
      <xdr:row>23</xdr:row>
      <xdr:rowOff>95250</xdr:rowOff>
    </xdr:from>
    <xdr:to>
      <xdr:col>31</xdr:col>
      <xdr:colOff>594083</xdr:colOff>
      <xdr:row>25</xdr:row>
      <xdr:rowOff>121920</xdr:rowOff>
    </xdr:to>
    <xdr:sp macro="" textlink="">
      <xdr:nvSpPr>
        <xdr:cNvPr id="222" name="Large_out">
          <a:extLst>
            <a:ext uri="{FF2B5EF4-FFF2-40B4-BE49-F238E27FC236}">
              <a16:creationId xmlns:a16="http://schemas.microsoft.com/office/drawing/2014/main" id="{00000000-0008-0000-0100-0000DE000000}"/>
            </a:ext>
          </a:extLst>
        </xdr:cNvPr>
        <xdr:cNvSpPr>
          <a:spLocks noChangeAspect="1"/>
        </xdr:cNvSpPr>
      </xdr:nvSpPr>
      <xdr:spPr>
        <a:xfrm>
          <a:off x="4857750" y="3171825"/>
          <a:ext cx="289283" cy="274320"/>
        </a:xfrm>
        <a:prstGeom prst="ellipse">
          <a:avLst/>
        </a:prstGeom>
        <a:noFill/>
        <a:ln w="12700" cap="flat" cmpd="sng" algn="ctr">
          <a:solidFill>
            <a:schemeClr val="tx1"/>
          </a:solidFill>
          <a:prstDash val="sysDot"/>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36</xdr:col>
      <xdr:colOff>66675</xdr:colOff>
      <xdr:row>42</xdr:row>
      <xdr:rowOff>76200</xdr:rowOff>
    </xdr:from>
    <xdr:to>
      <xdr:col>37</xdr:col>
      <xdr:colOff>66675</xdr:colOff>
      <xdr:row>46</xdr:row>
      <xdr:rowOff>104775</xdr:rowOff>
    </xdr:to>
    <xdr:sp macro="" textlink="">
      <xdr:nvSpPr>
        <xdr:cNvPr id="223" name="Text Box 9">
          <a:extLst>
            <a:ext uri="{FF2B5EF4-FFF2-40B4-BE49-F238E27FC236}">
              <a16:creationId xmlns:a16="http://schemas.microsoft.com/office/drawing/2014/main" id="{00000000-0008-0000-0100-0000DF000000}"/>
            </a:ext>
          </a:extLst>
        </xdr:cNvPr>
        <xdr:cNvSpPr txBox="1">
          <a:spLocks noChangeArrowheads="1"/>
        </xdr:cNvSpPr>
      </xdr:nvSpPr>
      <xdr:spPr bwMode="auto">
        <a:xfrm>
          <a:off x="12125325" y="5505450"/>
          <a:ext cx="13811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36</xdr:col>
      <xdr:colOff>66675</xdr:colOff>
      <xdr:row>49</xdr:row>
      <xdr:rowOff>76200</xdr:rowOff>
    </xdr:from>
    <xdr:to>
      <xdr:col>37</xdr:col>
      <xdr:colOff>66675</xdr:colOff>
      <xdr:row>53</xdr:row>
      <xdr:rowOff>104775</xdr:rowOff>
    </xdr:to>
    <xdr:sp macro="" textlink="">
      <xdr:nvSpPr>
        <xdr:cNvPr id="224" name="Text Box 9">
          <a:extLst>
            <a:ext uri="{FF2B5EF4-FFF2-40B4-BE49-F238E27FC236}">
              <a16:creationId xmlns:a16="http://schemas.microsoft.com/office/drawing/2014/main" id="{00000000-0008-0000-0100-0000E0000000}"/>
            </a:ext>
          </a:extLst>
        </xdr:cNvPr>
        <xdr:cNvSpPr txBox="1">
          <a:spLocks noChangeArrowheads="1"/>
        </xdr:cNvSpPr>
      </xdr:nvSpPr>
      <xdr:spPr bwMode="auto">
        <a:xfrm>
          <a:off x="12125325" y="6372225"/>
          <a:ext cx="13811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211666</xdr:colOff>
      <xdr:row>3</xdr:row>
      <xdr:rowOff>64559</xdr:rowOff>
    </xdr:from>
    <xdr:to>
      <xdr:col>10</xdr:col>
      <xdr:colOff>510122</xdr:colOff>
      <xdr:row>3</xdr:row>
      <xdr:rowOff>315384</xdr:rowOff>
    </xdr:to>
    <xdr:grpSp>
      <xdr:nvGrpSpPr>
        <xdr:cNvPr id="4" name="Group 3">
          <a:extLst>
            <a:ext uri="{FF2B5EF4-FFF2-40B4-BE49-F238E27FC236}">
              <a16:creationId xmlns:a16="http://schemas.microsoft.com/office/drawing/2014/main" id="{00000000-0008-0000-0200-000004000000}"/>
            </a:ext>
          </a:extLst>
        </xdr:cNvPr>
        <xdr:cNvGrpSpPr>
          <a:grpSpLocks noChangeAspect="1"/>
        </xdr:cNvGrpSpPr>
      </xdr:nvGrpSpPr>
      <xdr:grpSpPr>
        <a:xfrm>
          <a:off x="9683749" y="64559"/>
          <a:ext cx="298456" cy="250825"/>
          <a:chOff x="2006604" y="566734"/>
          <a:chExt cx="298456" cy="250825"/>
        </a:xfrm>
        <a:solidFill>
          <a:srgbClr val="C8FFFF"/>
        </a:solidFill>
      </xdr:grpSpPr>
      <xdr:pic>
        <xdr:nvPicPr>
          <xdr:cNvPr id="5" name="Picture 4" descr="C:\Users\OMS 179\Downloads\crs.png">
            <a:extLst>
              <a:ext uri="{FF2B5EF4-FFF2-40B4-BE49-F238E27FC236}">
                <a16:creationId xmlns:a16="http://schemas.microsoft.com/office/drawing/2014/main" id="{00000000-0008-0000-0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6604" y="566734"/>
            <a:ext cx="182562" cy="250825"/>
          </a:xfrm>
          <a:prstGeom prst="rect">
            <a:avLst/>
          </a:prstGeom>
          <a:grpFill/>
          <a:ln>
            <a:noFill/>
          </a:ln>
        </xdr:spPr>
      </xdr:pic>
      <xdr:pic>
        <xdr:nvPicPr>
          <xdr:cNvPr id="6" name="Picture 5">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95509" y="690564"/>
            <a:ext cx="209551" cy="123190"/>
          </a:xfrm>
          <a:prstGeom prst="rect">
            <a:avLst/>
          </a:prstGeom>
          <a:grpFill/>
          <a:ln>
            <a:noFill/>
          </a:ln>
        </xdr:spPr>
      </xdr:pic>
    </xdr:grpSp>
    <xdr:clientData/>
  </xdr:twoCellAnchor>
  <xdr:twoCellAnchor>
    <xdr:from>
      <xdr:col>9</xdr:col>
      <xdr:colOff>228600</xdr:colOff>
      <xdr:row>3</xdr:row>
      <xdr:rowOff>56092</xdr:rowOff>
    </xdr:from>
    <xdr:to>
      <xdr:col>9</xdr:col>
      <xdr:colOff>411163</xdr:colOff>
      <xdr:row>3</xdr:row>
      <xdr:rowOff>306917</xdr:rowOff>
    </xdr:to>
    <xdr:pic>
      <xdr:nvPicPr>
        <xdr:cNvPr id="7" name="Picture 6" descr="C:\Users\OMS 179\Downloads\crs.png">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39100" y="56092"/>
          <a:ext cx="182563" cy="250825"/>
        </a:xfrm>
        <a:prstGeom prst="rect">
          <a:avLst/>
        </a:prstGeom>
        <a:noFill/>
        <a:ln>
          <a:noFill/>
        </a:ln>
      </xdr:spPr>
    </xdr:pic>
    <xdr:clientData/>
  </xdr:twoCellAnchor>
  <xdr:twoCellAnchor>
    <xdr:from>
      <xdr:col>11</xdr:col>
      <xdr:colOff>162983</xdr:colOff>
      <xdr:row>3</xdr:row>
      <xdr:rowOff>133351</xdr:rowOff>
    </xdr:from>
    <xdr:to>
      <xdr:col>11</xdr:col>
      <xdr:colOff>486983</xdr:colOff>
      <xdr:row>3</xdr:row>
      <xdr:rowOff>273144</xdr:rowOff>
    </xdr:to>
    <xdr:grpSp>
      <xdr:nvGrpSpPr>
        <xdr:cNvPr id="8" name="Group 7">
          <a:extLst>
            <a:ext uri="{FF2B5EF4-FFF2-40B4-BE49-F238E27FC236}">
              <a16:creationId xmlns:a16="http://schemas.microsoft.com/office/drawing/2014/main" id="{00000000-0008-0000-0200-000008000000}"/>
            </a:ext>
          </a:extLst>
        </xdr:cNvPr>
        <xdr:cNvGrpSpPr>
          <a:grpSpLocks noChangeAspect="1"/>
        </xdr:cNvGrpSpPr>
      </xdr:nvGrpSpPr>
      <xdr:grpSpPr>
        <a:xfrm>
          <a:off x="10259483" y="133351"/>
          <a:ext cx="324000" cy="139793"/>
          <a:chOff x="2889246" y="611189"/>
          <a:chExt cx="367341" cy="163037"/>
        </a:xfrm>
        <a:solidFill>
          <a:srgbClr val="C8FFFF"/>
        </a:solidFill>
      </xdr:grpSpPr>
      <xdr:pic>
        <xdr:nvPicPr>
          <xdr:cNvPr id="9" name="Picture 8" descr="C:\Users\OMS 179\Downloads\bap.png">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grpFill/>
          <a:ln>
            <a:noFill/>
          </a:ln>
        </xdr:spPr>
      </xdr:pic>
      <xdr:pic>
        <xdr:nvPicPr>
          <xdr:cNvPr id="10" name="Picture 9" descr="C:\Users\OMS 179\Downloads\bap.png">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grpFill/>
          <a:ln>
            <a:noFill/>
          </a:ln>
        </xdr:spPr>
      </xdr:pic>
    </xdr:grpSp>
    <xdr:clientData/>
  </xdr:twoCellAnchor>
  <xdr:twoCellAnchor>
    <xdr:from>
      <xdr:col>12</xdr:col>
      <xdr:colOff>70910</xdr:colOff>
      <xdr:row>3</xdr:row>
      <xdr:rowOff>142875</xdr:rowOff>
    </xdr:from>
    <xdr:to>
      <xdr:col>12</xdr:col>
      <xdr:colOff>430910</xdr:colOff>
      <xdr:row>3</xdr:row>
      <xdr:rowOff>307895</xdr:rowOff>
    </xdr:to>
    <xdr:grpSp>
      <xdr:nvGrpSpPr>
        <xdr:cNvPr id="22" name="Group 21">
          <a:extLst>
            <a:ext uri="{FF2B5EF4-FFF2-40B4-BE49-F238E27FC236}">
              <a16:creationId xmlns:a16="http://schemas.microsoft.com/office/drawing/2014/main" id="{00000000-0008-0000-0200-000016000000}"/>
            </a:ext>
          </a:extLst>
        </xdr:cNvPr>
        <xdr:cNvGrpSpPr>
          <a:grpSpLocks noChangeAspect="1"/>
        </xdr:cNvGrpSpPr>
      </xdr:nvGrpSpPr>
      <xdr:grpSpPr>
        <a:xfrm>
          <a:off x="10791827" y="142875"/>
          <a:ext cx="360000" cy="165020"/>
          <a:chOff x="3402008" y="614362"/>
          <a:chExt cx="434980" cy="199390"/>
        </a:xfrm>
        <a:solidFill>
          <a:srgbClr val="C8FFFF"/>
        </a:solidFill>
      </xdr:grpSpPr>
      <xdr:grpSp>
        <xdr:nvGrpSpPr>
          <xdr:cNvPr id="23" name="Group 22">
            <a:extLst>
              <a:ext uri="{FF2B5EF4-FFF2-40B4-BE49-F238E27FC236}">
                <a16:creationId xmlns:a16="http://schemas.microsoft.com/office/drawing/2014/main" id="{00000000-0008-0000-0200-000017000000}"/>
              </a:ext>
            </a:extLst>
          </xdr:cNvPr>
          <xdr:cNvGrpSpPr/>
        </xdr:nvGrpSpPr>
        <xdr:grpSpPr>
          <a:xfrm>
            <a:off x="3402008" y="614362"/>
            <a:ext cx="372104" cy="156687"/>
            <a:chOff x="2889246" y="611189"/>
            <a:chExt cx="367341" cy="163037"/>
          </a:xfrm>
          <a:grpFill/>
        </xdr:grpSpPr>
        <xdr:pic>
          <xdr:nvPicPr>
            <xdr:cNvPr id="25" name="Picture 24" descr="C:\Users\OMS 179\Downloads\bap.png">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grpFill/>
            <a:ln>
              <a:noFill/>
            </a:ln>
          </xdr:spPr>
        </xdr:pic>
        <xdr:pic>
          <xdr:nvPicPr>
            <xdr:cNvPr id="26" name="Picture 25" descr="C:\Users\OMS 179\Downloads\bap.png">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grpFill/>
            <a:ln>
              <a:noFill/>
            </a:ln>
          </xdr:spPr>
        </xdr:pic>
      </xdr:grpSp>
      <xdr:pic>
        <xdr:nvPicPr>
          <xdr:cNvPr id="24" name="Picture 23">
            <a:extLst>
              <a:ext uri="{FF2B5EF4-FFF2-40B4-BE49-F238E27FC236}">
                <a16:creationId xmlns:a16="http://schemas.microsoft.com/office/drawing/2014/main" id="{00000000-0008-0000-0200-000018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627437" y="690562"/>
            <a:ext cx="209551" cy="123190"/>
          </a:xfrm>
          <a:prstGeom prst="rect">
            <a:avLst/>
          </a:prstGeom>
          <a:grpFill/>
          <a:ln>
            <a:noFill/>
          </a:ln>
        </xdr:spPr>
      </xdr:pic>
    </xdr:grpSp>
    <xdr:clientData/>
  </xdr:twoCellAnchor>
  <xdr:twoCellAnchor>
    <xdr:from>
      <xdr:col>13</xdr:col>
      <xdr:colOff>157690</xdr:colOff>
      <xdr:row>3</xdr:row>
      <xdr:rowOff>47625</xdr:rowOff>
    </xdr:from>
    <xdr:to>
      <xdr:col>13</xdr:col>
      <xdr:colOff>406367</xdr:colOff>
      <xdr:row>3</xdr:row>
      <xdr:rowOff>314494</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328273" y="47625"/>
          <a:ext cx="248677" cy="266869"/>
        </a:xfrm>
        <a:prstGeom prst="rect">
          <a:avLst/>
        </a:prstGeom>
      </xdr:spPr>
    </xdr:pic>
    <xdr:clientData/>
  </xdr:twoCellAnchor>
  <xdr:twoCellAnchor>
    <xdr:from>
      <xdr:col>14</xdr:col>
      <xdr:colOff>147107</xdr:colOff>
      <xdr:row>3</xdr:row>
      <xdr:rowOff>38100</xdr:rowOff>
    </xdr:from>
    <xdr:to>
      <xdr:col>14</xdr:col>
      <xdr:colOff>406479</xdr:colOff>
      <xdr:row>3</xdr:row>
      <xdr:rowOff>343069</xdr:rowOff>
    </xdr:to>
    <xdr:pic>
      <xdr:nvPicPr>
        <xdr:cNvPr id="28" name="Picture 27">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899774" y="38100"/>
          <a:ext cx="259372" cy="304969"/>
        </a:xfrm>
        <a:prstGeom prst="rect">
          <a:avLst/>
        </a:prstGeom>
      </xdr:spPr>
    </xdr:pic>
    <xdr:clientData/>
  </xdr:twoCellAnchor>
  <xdr:twoCellAnchor>
    <xdr:from>
      <xdr:col>15</xdr:col>
      <xdr:colOff>131231</xdr:colOff>
      <xdr:row>3</xdr:row>
      <xdr:rowOff>57150</xdr:rowOff>
    </xdr:from>
    <xdr:to>
      <xdr:col>15</xdr:col>
      <xdr:colOff>444084</xdr:colOff>
      <xdr:row>3</xdr:row>
      <xdr:rowOff>324019</xdr:rowOff>
    </xdr:to>
    <xdr:pic>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465981" y="57150"/>
          <a:ext cx="312853" cy="266869"/>
        </a:xfrm>
        <a:prstGeom prst="rect">
          <a:avLst/>
        </a:prstGeom>
      </xdr:spPr>
    </xdr:pic>
    <xdr:clientData/>
  </xdr:twoCellAnchor>
  <xdr:twoCellAnchor>
    <xdr:from>
      <xdr:col>16</xdr:col>
      <xdr:colOff>204258</xdr:colOff>
      <xdr:row>3</xdr:row>
      <xdr:rowOff>47625</xdr:rowOff>
    </xdr:from>
    <xdr:to>
      <xdr:col>16</xdr:col>
      <xdr:colOff>366503</xdr:colOff>
      <xdr:row>3</xdr:row>
      <xdr:rowOff>335625</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121091" y="47625"/>
          <a:ext cx="162245" cy="288000"/>
        </a:xfrm>
        <a:prstGeom prst="rect">
          <a:avLst/>
        </a:prstGeom>
      </xdr:spPr>
    </xdr:pic>
    <xdr:clientData/>
  </xdr:twoCellAnchor>
  <xdr:twoCellAnchor>
    <xdr:from>
      <xdr:col>20</xdr:col>
      <xdr:colOff>168273</xdr:colOff>
      <xdr:row>3</xdr:row>
      <xdr:rowOff>170392</xdr:rowOff>
    </xdr:from>
    <xdr:to>
      <xdr:col>20</xdr:col>
      <xdr:colOff>416950</xdr:colOff>
      <xdr:row>3</xdr:row>
      <xdr:rowOff>288836</xdr:rowOff>
    </xdr:to>
    <xdr:grpSp>
      <xdr:nvGrpSpPr>
        <xdr:cNvPr id="2" name="Group 1">
          <a:extLst>
            <a:ext uri="{FF2B5EF4-FFF2-40B4-BE49-F238E27FC236}">
              <a16:creationId xmlns:a16="http://schemas.microsoft.com/office/drawing/2014/main" id="{00000000-0008-0000-0200-000002000000}"/>
            </a:ext>
          </a:extLst>
        </xdr:cNvPr>
        <xdr:cNvGrpSpPr>
          <a:grpSpLocks noChangeAspect="1"/>
        </xdr:cNvGrpSpPr>
      </xdr:nvGrpSpPr>
      <xdr:grpSpPr>
        <a:xfrm>
          <a:off x="15450606" y="170392"/>
          <a:ext cx="248677" cy="118444"/>
          <a:chOff x="13315950" y="114300"/>
          <a:chExt cx="248677" cy="118444"/>
        </a:xfrm>
      </xdr:grpSpPr>
      <xdr:pic>
        <xdr:nvPicPr>
          <xdr:cNvPr id="32" name="Picture 31" descr="C:\Users\OMS 179\Downloads\bap.png">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3315950" y="114300"/>
            <a:ext cx="247607" cy="53862"/>
          </a:xfrm>
          <a:prstGeom prst="rect">
            <a:avLst/>
          </a:prstGeom>
          <a:noFill/>
          <a:ln>
            <a:noFill/>
          </a:ln>
        </xdr:spPr>
      </xdr:pic>
      <xdr:pic>
        <xdr:nvPicPr>
          <xdr:cNvPr id="33" name="Picture 32" descr="C:\Users\OMS 179\Downloads\bap.png">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3317020" y="178882"/>
            <a:ext cx="247607" cy="53862"/>
          </a:xfrm>
          <a:prstGeom prst="rect">
            <a:avLst/>
          </a:prstGeom>
          <a:noFill/>
          <a:ln>
            <a:noFill/>
          </a:ln>
        </xdr:spPr>
      </xdr:pic>
    </xdr:grpSp>
    <xdr:clientData/>
  </xdr:twoCellAnchor>
  <xdr:twoCellAnchor>
    <xdr:from>
      <xdr:col>19</xdr:col>
      <xdr:colOff>169331</xdr:colOff>
      <xdr:row>3</xdr:row>
      <xdr:rowOff>66675</xdr:rowOff>
    </xdr:from>
    <xdr:to>
      <xdr:col>19</xdr:col>
      <xdr:colOff>433881</xdr:colOff>
      <xdr:row>3</xdr:row>
      <xdr:rowOff>333544</xdr:rowOff>
    </xdr:to>
    <xdr:pic>
      <xdr:nvPicPr>
        <xdr:cNvPr id="34" name="Picture 33">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832414" y="66675"/>
          <a:ext cx="264550" cy="266869"/>
        </a:xfrm>
        <a:prstGeom prst="rect">
          <a:avLst/>
        </a:prstGeom>
      </xdr:spPr>
    </xdr:pic>
    <xdr:clientData/>
  </xdr:twoCellAnchor>
  <xdr:twoCellAnchor>
    <xdr:from>
      <xdr:col>18</xdr:col>
      <xdr:colOff>78315</xdr:colOff>
      <xdr:row>2</xdr:row>
      <xdr:rowOff>179917</xdr:rowOff>
    </xdr:from>
    <xdr:to>
      <xdr:col>18</xdr:col>
      <xdr:colOff>444093</xdr:colOff>
      <xdr:row>4</xdr:row>
      <xdr:rowOff>5945</xdr:rowOff>
    </xdr:to>
    <xdr:pic>
      <xdr:nvPicPr>
        <xdr:cNvPr id="35" name="Picture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159315" y="560917"/>
          <a:ext cx="365778" cy="365778"/>
        </a:xfrm>
        <a:prstGeom prst="rect">
          <a:avLst/>
        </a:prstGeom>
      </xdr:spPr>
    </xdr:pic>
    <xdr:clientData/>
  </xdr:twoCellAnchor>
  <xdr:twoCellAnchor>
    <xdr:from>
      <xdr:col>17</xdr:col>
      <xdr:colOff>120648</xdr:colOff>
      <xdr:row>3</xdr:row>
      <xdr:rowOff>101601</xdr:rowOff>
    </xdr:from>
    <xdr:to>
      <xdr:col>17</xdr:col>
      <xdr:colOff>452218</xdr:colOff>
      <xdr:row>3</xdr:row>
      <xdr:rowOff>274488</xdr:rowOff>
    </xdr:to>
    <xdr:pic>
      <xdr:nvPicPr>
        <xdr:cNvPr id="36" name="Picture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619565" y="101601"/>
          <a:ext cx="331570" cy="172887"/>
        </a:xfrm>
        <a:prstGeom prst="rect">
          <a:avLst/>
        </a:prstGeom>
      </xdr:spPr>
    </xdr:pic>
    <xdr:clientData/>
  </xdr:twoCellAnchor>
  <xdr:twoCellAnchor>
    <xdr:from>
      <xdr:col>8</xdr:col>
      <xdr:colOff>220133</xdr:colOff>
      <xdr:row>2</xdr:row>
      <xdr:rowOff>170283</xdr:rowOff>
    </xdr:from>
    <xdr:to>
      <xdr:col>8</xdr:col>
      <xdr:colOff>444500</xdr:colOff>
      <xdr:row>4</xdr:row>
      <xdr:rowOff>10583</xdr:rowOff>
    </xdr:to>
    <xdr:pic>
      <xdr:nvPicPr>
        <xdr:cNvPr id="37" name="Picture 36" descr="C:\Users\OMS 179\Downloads\prs.png">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406216" y="551283"/>
          <a:ext cx="224367" cy="380050"/>
        </a:xfrm>
        <a:prstGeom prst="rect">
          <a:avLst/>
        </a:prstGeom>
        <a:noFill/>
        <a:ln>
          <a:noFill/>
        </a:ln>
      </xdr:spPr>
    </xdr:pic>
    <xdr:clientData/>
  </xdr:twoCellAnchor>
  <xdr:twoCellAnchor>
    <xdr:from>
      <xdr:col>21</xdr:col>
      <xdr:colOff>157690</xdr:colOff>
      <xdr:row>3</xdr:row>
      <xdr:rowOff>48683</xdr:rowOff>
    </xdr:from>
    <xdr:to>
      <xdr:col>21</xdr:col>
      <xdr:colOff>406367</xdr:colOff>
      <xdr:row>3</xdr:row>
      <xdr:rowOff>315552</xdr:rowOff>
    </xdr:to>
    <xdr:pic>
      <xdr:nvPicPr>
        <xdr:cNvPr id="38" name="Picture 37">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984940" y="48683"/>
          <a:ext cx="248677" cy="266869"/>
        </a:xfrm>
        <a:prstGeom prst="rect">
          <a:avLst/>
        </a:prstGeom>
      </xdr:spPr>
    </xdr:pic>
    <xdr:clientData/>
  </xdr:twoCellAnchor>
  <xdr:twoCellAnchor>
    <xdr:from>
      <xdr:col>1</xdr:col>
      <xdr:colOff>42333</xdr:colOff>
      <xdr:row>3</xdr:row>
      <xdr:rowOff>74083</xdr:rowOff>
    </xdr:from>
    <xdr:to>
      <xdr:col>1</xdr:col>
      <xdr:colOff>225213</xdr:colOff>
      <xdr:row>3</xdr:row>
      <xdr:rowOff>275251</xdr:rowOff>
    </xdr:to>
    <xdr:sp macro="[0]!Refresh_Col_A" textlink="">
      <xdr:nvSpPr>
        <xdr:cNvPr id="29" name="Flowchart: Merge 28">
          <a:extLst>
            <a:ext uri="{FF2B5EF4-FFF2-40B4-BE49-F238E27FC236}">
              <a16:creationId xmlns:a16="http://schemas.microsoft.com/office/drawing/2014/main" id="{00000000-0008-0000-0200-00001D000000}"/>
            </a:ext>
          </a:extLst>
        </xdr:cNvPr>
        <xdr:cNvSpPr/>
      </xdr:nvSpPr>
      <xdr:spPr>
        <a:xfrm>
          <a:off x="2566458" y="74083"/>
          <a:ext cx="182880" cy="201168"/>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0</xdr:colOff>
      <xdr:row>23</xdr:row>
      <xdr:rowOff>0</xdr:rowOff>
    </xdr:from>
    <xdr:to>
      <xdr:col>15</xdr:col>
      <xdr:colOff>95250</xdr:colOff>
      <xdr:row>24</xdr:row>
      <xdr:rowOff>0</xdr:rowOff>
    </xdr:to>
    <xdr:sp macro="" textlink="">
      <xdr:nvSpPr>
        <xdr:cNvPr id="2" name="Text Box 28">
          <a:extLst>
            <a:ext uri="{FF2B5EF4-FFF2-40B4-BE49-F238E27FC236}">
              <a16:creationId xmlns:a16="http://schemas.microsoft.com/office/drawing/2014/main" id="{00000000-0008-0000-0300-000002000000}"/>
            </a:ext>
          </a:extLst>
        </xdr:cNvPr>
        <xdr:cNvSpPr txBox="1"/>
      </xdr:nvSpPr>
      <xdr:spPr>
        <a:xfrm>
          <a:off x="2381250" y="1724025"/>
          <a:ext cx="247650" cy="244475"/>
        </a:xfrm>
        <a:prstGeom prst="rect">
          <a:avLst/>
        </a:prstGeom>
        <a:noFill/>
        <a:ln w="6350">
          <a:noFill/>
        </a:ln>
      </xdr:spPr>
      <xdr:txBody>
        <a:bodyPr rot="0" spcFirstLastPara="0" vert="horz" wrap="square" lIns="0" tIns="45720" rIns="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endParaRPr lang="en-US" sz="1100">
            <a:effectLst/>
            <a:latin typeface="Calibri" panose="020F0502020204030204" pitchFamily="34" charset="0"/>
            <a:ea typeface="Calibri" panose="020F0502020204030204" pitchFamily="34" charset="0"/>
            <a:cs typeface="Vrinda" panose="020B0502040204020203" pitchFamily="34" charset="0"/>
          </a:endParaRPr>
        </a:p>
      </xdr:txBody>
    </xdr:sp>
    <xdr:clientData/>
  </xdr:twoCellAnchor>
  <xdr:twoCellAnchor>
    <xdr:from>
      <xdr:col>52</xdr:col>
      <xdr:colOff>523875</xdr:colOff>
      <xdr:row>26</xdr:row>
      <xdr:rowOff>0</xdr:rowOff>
    </xdr:from>
    <xdr:to>
      <xdr:col>54</xdr:col>
      <xdr:colOff>0</xdr:colOff>
      <xdr:row>26</xdr:row>
      <xdr:rowOff>28575</xdr:rowOff>
    </xdr:to>
    <xdr:sp macro="" textlink="">
      <xdr:nvSpPr>
        <xdr:cNvPr id="6" name="Text Box 113">
          <a:extLst>
            <a:ext uri="{FF2B5EF4-FFF2-40B4-BE49-F238E27FC236}">
              <a16:creationId xmlns:a16="http://schemas.microsoft.com/office/drawing/2014/main" id="{00000000-0008-0000-0300-000006000000}"/>
            </a:ext>
          </a:extLst>
        </xdr:cNvPr>
        <xdr:cNvSpPr txBox="1">
          <a:spLocks noChangeArrowheads="1"/>
        </xdr:cNvSpPr>
      </xdr:nvSpPr>
      <xdr:spPr bwMode="auto">
        <a:xfrm>
          <a:off x="14487525" y="2400300"/>
          <a:ext cx="695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53</xdr:col>
      <xdr:colOff>266700</xdr:colOff>
      <xdr:row>24</xdr:row>
      <xdr:rowOff>0</xdr:rowOff>
    </xdr:from>
    <xdr:to>
      <xdr:col>54</xdr:col>
      <xdr:colOff>266700</xdr:colOff>
      <xdr:row>26</xdr:row>
      <xdr:rowOff>0</xdr:rowOff>
    </xdr:to>
    <xdr:sp macro="" textlink="">
      <xdr:nvSpPr>
        <xdr:cNvPr id="7" name="Text Box 5">
          <a:extLst>
            <a:ext uri="{FF2B5EF4-FFF2-40B4-BE49-F238E27FC236}">
              <a16:creationId xmlns:a16="http://schemas.microsoft.com/office/drawing/2014/main" id="{00000000-0008-0000-0300-000007000000}"/>
            </a:ext>
          </a:extLst>
        </xdr:cNvPr>
        <xdr:cNvSpPr txBox="1">
          <a:spLocks noChangeArrowheads="1"/>
        </xdr:cNvSpPr>
      </xdr:nvSpPr>
      <xdr:spPr bwMode="auto">
        <a:xfrm>
          <a:off x="14839950" y="1971675"/>
          <a:ext cx="60960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69</xdr:col>
      <xdr:colOff>76200</xdr:colOff>
      <xdr:row>26</xdr:row>
      <xdr:rowOff>0</xdr:rowOff>
    </xdr:from>
    <xdr:to>
      <xdr:col>70</xdr:col>
      <xdr:colOff>257175</xdr:colOff>
      <xdr:row>27</xdr:row>
      <xdr:rowOff>0</xdr:rowOff>
    </xdr:to>
    <xdr:sp macro="" textlink="">
      <xdr:nvSpPr>
        <xdr:cNvPr id="8" name="Text Box 110">
          <a:extLst>
            <a:ext uri="{FF2B5EF4-FFF2-40B4-BE49-F238E27FC236}">
              <a16:creationId xmlns:a16="http://schemas.microsoft.com/office/drawing/2014/main" id="{00000000-0008-0000-0300-000008000000}"/>
            </a:ext>
          </a:extLst>
        </xdr:cNvPr>
        <xdr:cNvSpPr txBox="1">
          <a:spLocks noChangeArrowheads="1"/>
        </xdr:cNvSpPr>
      </xdr:nvSpPr>
      <xdr:spPr bwMode="auto">
        <a:xfrm>
          <a:off x="15868650" y="2400300"/>
          <a:ext cx="7905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65</xdr:col>
      <xdr:colOff>428625</xdr:colOff>
      <xdr:row>26</xdr:row>
      <xdr:rowOff>0</xdr:rowOff>
    </xdr:from>
    <xdr:to>
      <xdr:col>66</xdr:col>
      <xdr:colOff>485775</xdr:colOff>
      <xdr:row>28</xdr:row>
      <xdr:rowOff>38100</xdr:rowOff>
    </xdr:to>
    <xdr:sp macro="" textlink="">
      <xdr:nvSpPr>
        <xdr:cNvPr id="10" name="Text Box 109">
          <a:extLst>
            <a:ext uri="{FF2B5EF4-FFF2-40B4-BE49-F238E27FC236}">
              <a16:creationId xmlns:a16="http://schemas.microsoft.com/office/drawing/2014/main" id="{00000000-0008-0000-0300-00000A000000}"/>
            </a:ext>
          </a:extLst>
        </xdr:cNvPr>
        <xdr:cNvSpPr txBox="1">
          <a:spLocks noChangeArrowheads="1"/>
        </xdr:cNvSpPr>
      </xdr:nvSpPr>
      <xdr:spPr bwMode="auto">
        <a:xfrm>
          <a:off x="13782675" y="2800350"/>
          <a:ext cx="66675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68</xdr:col>
      <xdr:colOff>76200</xdr:colOff>
      <xdr:row>26</xdr:row>
      <xdr:rowOff>0</xdr:rowOff>
    </xdr:from>
    <xdr:to>
      <xdr:col>69</xdr:col>
      <xdr:colOff>257175</xdr:colOff>
      <xdr:row>28</xdr:row>
      <xdr:rowOff>0</xdr:rowOff>
    </xdr:to>
    <xdr:sp macro="" textlink="">
      <xdr:nvSpPr>
        <xdr:cNvPr id="11" name="Text Box 3">
          <a:extLst>
            <a:ext uri="{FF2B5EF4-FFF2-40B4-BE49-F238E27FC236}">
              <a16:creationId xmlns:a16="http://schemas.microsoft.com/office/drawing/2014/main" id="{00000000-0008-0000-0300-00000B000000}"/>
            </a:ext>
          </a:extLst>
        </xdr:cNvPr>
        <xdr:cNvSpPr txBox="1">
          <a:spLocks noChangeArrowheads="1"/>
        </xdr:cNvSpPr>
      </xdr:nvSpPr>
      <xdr:spPr bwMode="auto">
        <a:xfrm>
          <a:off x="15259050" y="2828925"/>
          <a:ext cx="7905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50</xdr:col>
      <xdr:colOff>0</xdr:colOff>
      <xdr:row>27</xdr:row>
      <xdr:rowOff>0</xdr:rowOff>
    </xdr:from>
    <xdr:to>
      <xdr:col>51</xdr:col>
      <xdr:colOff>0</xdr:colOff>
      <xdr:row>29</xdr:row>
      <xdr:rowOff>0</xdr:rowOff>
    </xdr:to>
    <xdr:sp macro="" textlink="">
      <xdr:nvSpPr>
        <xdr:cNvPr id="12" name="Text Box 9">
          <a:extLst>
            <a:ext uri="{FF2B5EF4-FFF2-40B4-BE49-F238E27FC236}">
              <a16:creationId xmlns:a16="http://schemas.microsoft.com/office/drawing/2014/main" id="{00000000-0008-0000-0300-00000C000000}"/>
            </a:ext>
          </a:extLst>
        </xdr:cNvPr>
        <xdr:cNvSpPr txBox="1">
          <a:spLocks noChangeArrowheads="1"/>
        </xdr:cNvSpPr>
      </xdr:nvSpPr>
      <xdr:spPr bwMode="auto">
        <a:xfrm>
          <a:off x="12744450" y="3162300"/>
          <a:ext cx="609600"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52</xdr:col>
      <xdr:colOff>428625</xdr:colOff>
      <xdr:row>28</xdr:row>
      <xdr:rowOff>0</xdr:rowOff>
    </xdr:from>
    <xdr:to>
      <xdr:col>54</xdr:col>
      <xdr:colOff>200025</xdr:colOff>
      <xdr:row>30</xdr:row>
      <xdr:rowOff>76200</xdr:rowOff>
    </xdr:to>
    <xdr:sp macro="" textlink="">
      <xdr:nvSpPr>
        <xdr:cNvPr id="13" name="Text Box 120">
          <a:extLst>
            <a:ext uri="{FF2B5EF4-FFF2-40B4-BE49-F238E27FC236}">
              <a16:creationId xmlns:a16="http://schemas.microsoft.com/office/drawing/2014/main" id="{00000000-0008-0000-0300-00000D000000}"/>
            </a:ext>
          </a:extLst>
        </xdr:cNvPr>
        <xdr:cNvSpPr txBox="1">
          <a:spLocks noChangeArrowheads="1"/>
        </xdr:cNvSpPr>
      </xdr:nvSpPr>
      <xdr:spPr bwMode="auto">
        <a:xfrm>
          <a:off x="14392275" y="3371850"/>
          <a:ext cx="9906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54</xdr:col>
      <xdr:colOff>371475</xdr:colOff>
      <xdr:row>28</xdr:row>
      <xdr:rowOff>0</xdr:rowOff>
    </xdr:from>
    <xdr:to>
      <xdr:col>55</xdr:col>
      <xdr:colOff>552450</xdr:colOff>
      <xdr:row>30</xdr:row>
      <xdr:rowOff>76200</xdr:rowOff>
    </xdr:to>
    <xdr:sp macro="" textlink="">
      <xdr:nvSpPr>
        <xdr:cNvPr id="14" name="Text Box 124">
          <a:extLst>
            <a:ext uri="{FF2B5EF4-FFF2-40B4-BE49-F238E27FC236}">
              <a16:creationId xmlns:a16="http://schemas.microsoft.com/office/drawing/2014/main" id="{00000000-0008-0000-0300-00000E000000}"/>
            </a:ext>
          </a:extLst>
        </xdr:cNvPr>
        <xdr:cNvSpPr txBox="1">
          <a:spLocks noChangeArrowheads="1"/>
        </xdr:cNvSpPr>
      </xdr:nvSpPr>
      <xdr:spPr bwMode="auto">
        <a:xfrm>
          <a:off x="15554325" y="3429000"/>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51</xdr:col>
      <xdr:colOff>85725</xdr:colOff>
      <xdr:row>28</xdr:row>
      <xdr:rowOff>47625</xdr:rowOff>
    </xdr:from>
    <xdr:to>
      <xdr:col>52</xdr:col>
      <xdr:colOff>266700</xdr:colOff>
      <xdr:row>31</xdr:row>
      <xdr:rowOff>0</xdr:rowOff>
    </xdr:to>
    <xdr:sp macro="" textlink="">
      <xdr:nvSpPr>
        <xdr:cNvPr id="15" name="Text Box 111">
          <a:extLst>
            <a:ext uri="{FF2B5EF4-FFF2-40B4-BE49-F238E27FC236}">
              <a16:creationId xmlns:a16="http://schemas.microsoft.com/office/drawing/2014/main" id="{00000000-0008-0000-0300-00000F000000}"/>
            </a:ext>
          </a:extLst>
        </xdr:cNvPr>
        <xdr:cNvSpPr txBox="1">
          <a:spLocks noChangeArrowheads="1"/>
        </xdr:cNvSpPr>
      </xdr:nvSpPr>
      <xdr:spPr bwMode="auto">
        <a:xfrm>
          <a:off x="13439775" y="3505200"/>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55</xdr:col>
      <xdr:colOff>542925</xdr:colOff>
      <xdr:row>28</xdr:row>
      <xdr:rowOff>0</xdr:rowOff>
    </xdr:from>
    <xdr:to>
      <xdr:col>56</xdr:col>
      <xdr:colOff>533400</xdr:colOff>
      <xdr:row>30</xdr:row>
      <xdr:rowOff>0</xdr:rowOff>
    </xdr:to>
    <xdr:sp macro="" textlink="">
      <xdr:nvSpPr>
        <xdr:cNvPr id="16" name="Text Box 19">
          <a:extLst>
            <a:ext uri="{FF2B5EF4-FFF2-40B4-BE49-F238E27FC236}">
              <a16:creationId xmlns:a16="http://schemas.microsoft.com/office/drawing/2014/main" id="{00000000-0008-0000-0300-000010000000}"/>
            </a:ext>
          </a:extLst>
        </xdr:cNvPr>
        <xdr:cNvSpPr txBox="1">
          <a:spLocks noChangeArrowheads="1"/>
        </xdr:cNvSpPr>
      </xdr:nvSpPr>
      <xdr:spPr bwMode="auto">
        <a:xfrm>
          <a:off x="16335375" y="3438525"/>
          <a:ext cx="6000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51</xdr:col>
      <xdr:colOff>457200</xdr:colOff>
      <xdr:row>30</xdr:row>
      <xdr:rowOff>85725</xdr:rowOff>
    </xdr:from>
    <xdr:to>
      <xdr:col>53</xdr:col>
      <xdr:colOff>28575</xdr:colOff>
      <xdr:row>33</xdr:row>
      <xdr:rowOff>0</xdr:rowOff>
    </xdr:to>
    <xdr:sp macro="" textlink="">
      <xdr:nvSpPr>
        <xdr:cNvPr id="17" name="Text Box 112">
          <a:extLst>
            <a:ext uri="{FF2B5EF4-FFF2-40B4-BE49-F238E27FC236}">
              <a16:creationId xmlns:a16="http://schemas.microsoft.com/office/drawing/2014/main" id="{00000000-0008-0000-0300-000011000000}"/>
            </a:ext>
          </a:extLst>
        </xdr:cNvPr>
        <xdr:cNvSpPr txBox="1">
          <a:spLocks noChangeArrowheads="1"/>
        </xdr:cNvSpPr>
      </xdr:nvSpPr>
      <xdr:spPr bwMode="auto">
        <a:xfrm>
          <a:off x="13811250" y="4162425"/>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54</xdr:col>
      <xdr:colOff>142875</xdr:colOff>
      <xdr:row>30</xdr:row>
      <xdr:rowOff>85725</xdr:rowOff>
    </xdr:from>
    <xdr:to>
      <xdr:col>55</xdr:col>
      <xdr:colOff>323850</xdr:colOff>
      <xdr:row>33</xdr:row>
      <xdr:rowOff>0</xdr:rowOff>
    </xdr:to>
    <xdr:sp macro="" textlink="">
      <xdr:nvSpPr>
        <xdr:cNvPr id="18" name="Text Box 121">
          <a:extLst>
            <a:ext uri="{FF2B5EF4-FFF2-40B4-BE49-F238E27FC236}">
              <a16:creationId xmlns:a16="http://schemas.microsoft.com/office/drawing/2014/main" id="{00000000-0008-0000-0300-000012000000}"/>
            </a:ext>
          </a:extLst>
        </xdr:cNvPr>
        <xdr:cNvSpPr txBox="1">
          <a:spLocks noChangeArrowheads="1"/>
        </xdr:cNvSpPr>
      </xdr:nvSpPr>
      <xdr:spPr bwMode="auto">
        <a:xfrm>
          <a:off x="15325725" y="4162425"/>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50</xdr:col>
      <xdr:colOff>123825</xdr:colOff>
      <xdr:row>31</xdr:row>
      <xdr:rowOff>0</xdr:rowOff>
    </xdr:from>
    <xdr:to>
      <xdr:col>51</xdr:col>
      <xdr:colOff>304800</xdr:colOff>
      <xdr:row>33</xdr:row>
      <xdr:rowOff>0</xdr:rowOff>
    </xdr:to>
    <xdr:sp macro="" textlink="">
      <xdr:nvSpPr>
        <xdr:cNvPr id="19" name="Text Box 11">
          <a:extLst>
            <a:ext uri="{FF2B5EF4-FFF2-40B4-BE49-F238E27FC236}">
              <a16:creationId xmlns:a16="http://schemas.microsoft.com/office/drawing/2014/main" id="{00000000-0008-0000-0300-000013000000}"/>
            </a:ext>
          </a:extLst>
        </xdr:cNvPr>
        <xdr:cNvSpPr txBox="1">
          <a:spLocks noChangeArrowheads="1"/>
        </xdr:cNvSpPr>
      </xdr:nvSpPr>
      <xdr:spPr bwMode="auto">
        <a:xfrm>
          <a:off x="12868275" y="4295775"/>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55</xdr:col>
      <xdr:colOff>295275</xdr:colOff>
      <xdr:row>31</xdr:row>
      <xdr:rowOff>47625</xdr:rowOff>
    </xdr:from>
    <xdr:to>
      <xdr:col>56</xdr:col>
      <xdr:colOff>476250</xdr:colOff>
      <xdr:row>33</xdr:row>
      <xdr:rowOff>28575</xdr:rowOff>
    </xdr:to>
    <xdr:sp macro="" textlink="">
      <xdr:nvSpPr>
        <xdr:cNvPr id="20" name="Text Box 17">
          <a:extLst>
            <a:ext uri="{FF2B5EF4-FFF2-40B4-BE49-F238E27FC236}">
              <a16:creationId xmlns:a16="http://schemas.microsoft.com/office/drawing/2014/main" id="{00000000-0008-0000-0300-000014000000}"/>
            </a:ext>
          </a:extLst>
        </xdr:cNvPr>
        <xdr:cNvSpPr txBox="1">
          <a:spLocks noChangeArrowheads="1"/>
        </xdr:cNvSpPr>
      </xdr:nvSpPr>
      <xdr:spPr bwMode="auto">
        <a:xfrm>
          <a:off x="16087725" y="4495800"/>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53</xdr:col>
      <xdr:colOff>9525</xdr:colOff>
      <xdr:row>32</xdr:row>
      <xdr:rowOff>0</xdr:rowOff>
    </xdr:from>
    <xdr:to>
      <xdr:col>54</xdr:col>
      <xdr:colOff>190500</xdr:colOff>
      <xdr:row>33</xdr:row>
      <xdr:rowOff>114300</xdr:rowOff>
    </xdr:to>
    <xdr:sp macro="" textlink="">
      <xdr:nvSpPr>
        <xdr:cNvPr id="21" name="Text Box 22">
          <a:extLst>
            <a:ext uri="{FF2B5EF4-FFF2-40B4-BE49-F238E27FC236}">
              <a16:creationId xmlns:a16="http://schemas.microsoft.com/office/drawing/2014/main" id="{00000000-0008-0000-0300-000015000000}"/>
            </a:ext>
          </a:extLst>
        </xdr:cNvPr>
        <xdr:cNvSpPr txBox="1">
          <a:spLocks noChangeArrowheads="1"/>
        </xdr:cNvSpPr>
      </xdr:nvSpPr>
      <xdr:spPr bwMode="auto">
        <a:xfrm>
          <a:off x="14582775" y="4581525"/>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51</xdr:col>
      <xdr:colOff>523875</xdr:colOff>
      <xdr:row>33</xdr:row>
      <xdr:rowOff>0</xdr:rowOff>
    </xdr:from>
    <xdr:to>
      <xdr:col>52</xdr:col>
      <xdr:colOff>447675</xdr:colOff>
      <xdr:row>35</xdr:row>
      <xdr:rowOff>47625</xdr:rowOff>
    </xdr:to>
    <xdr:sp macro="" textlink="">
      <xdr:nvSpPr>
        <xdr:cNvPr id="22" name="Text Box 14">
          <a:extLst>
            <a:ext uri="{FF2B5EF4-FFF2-40B4-BE49-F238E27FC236}">
              <a16:creationId xmlns:a16="http://schemas.microsoft.com/office/drawing/2014/main" id="{00000000-0008-0000-0300-000016000000}"/>
            </a:ext>
          </a:extLst>
        </xdr:cNvPr>
        <xdr:cNvSpPr txBox="1">
          <a:spLocks noChangeArrowheads="1"/>
        </xdr:cNvSpPr>
      </xdr:nvSpPr>
      <xdr:spPr bwMode="auto">
        <a:xfrm>
          <a:off x="13877925" y="5114925"/>
          <a:ext cx="53340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53</xdr:col>
      <xdr:colOff>523875</xdr:colOff>
      <xdr:row>33</xdr:row>
      <xdr:rowOff>66675</xdr:rowOff>
    </xdr:from>
    <xdr:to>
      <xdr:col>55</xdr:col>
      <xdr:colOff>95250</xdr:colOff>
      <xdr:row>37</xdr:row>
      <xdr:rowOff>47625</xdr:rowOff>
    </xdr:to>
    <xdr:sp macro="" textlink="">
      <xdr:nvSpPr>
        <xdr:cNvPr id="23" name="Text Box 107">
          <a:extLst>
            <a:ext uri="{FF2B5EF4-FFF2-40B4-BE49-F238E27FC236}">
              <a16:creationId xmlns:a16="http://schemas.microsoft.com/office/drawing/2014/main" id="{00000000-0008-0000-0300-000017000000}"/>
            </a:ext>
          </a:extLst>
        </xdr:cNvPr>
        <xdr:cNvSpPr txBox="1">
          <a:spLocks noChangeArrowheads="1"/>
        </xdr:cNvSpPr>
      </xdr:nvSpPr>
      <xdr:spPr bwMode="auto">
        <a:xfrm>
          <a:off x="15097125" y="5257800"/>
          <a:ext cx="7905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editAs="oneCell">
    <xdr:from>
      <xdr:col>5</xdr:col>
      <xdr:colOff>123824</xdr:colOff>
      <xdr:row>13</xdr:row>
      <xdr:rowOff>23819</xdr:rowOff>
    </xdr:from>
    <xdr:to>
      <xdr:col>7</xdr:col>
      <xdr:colOff>32066</xdr:colOff>
      <xdr:row>16</xdr:row>
      <xdr:rowOff>4769</xdr:rowOff>
    </xdr:to>
    <xdr:pic>
      <xdr:nvPicPr>
        <xdr:cNvPr id="24" name="Picture 23" descr="C:\Users\OMS 179\Downloads\prs.png">
          <a:extLst>
            <a:ext uri="{FF2B5EF4-FFF2-40B4-BE49-F238E27FC236}">
              <a16:creationId xmlns:a16="http://schemas.microsoft.com/office/drawing/2014/main" id="{00000000-0008-0000-0300-00001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4" y="2862269"/>
          <a:ext cx="213042" cy="352425"/>
        </a:xfrm>
        <a:prstGeom prst="rect">
          <a:avLst/>
        </a:prstGeom>
        <a:noFill/>
        <a:ln>
          <a:noFill/>
        </a:ln>
      </xdr:spPr>
    </xdr:pic>
    <xdr:clientData/>
  </xdr:twoCellAnchor>
  <xdr:twoCellAnchor editAs="oneCell">
    <xdr:from>
      <xdr:col>13</xdr:col>
      <xdr:colOff>139698</xdr:colOff>
      <xdr:row>13</xdr:row>
      <xdr:rowOff>90487</xdr:rowOff>
    </xdr:from>
    <xdr:to>
      <xdr:col>15</xdr:col>
      <xdr:colOff>17461</xdr:colOff>
      <xdr:row>15</xdr:row>
      <xdr:rowOff>93662</xdr:rowOff>
    </xdr:to>
    <xdr:pic>
      <xdr:nvPicPr>
        <xdr:cNvPr id="25" name="Picture 24" descr="C:\Users\OMS 179\Downloads\crs.png">
          <a:extLst>
            <a:ext uri="{FF2B5EF4-FFF2-40B4-BE49-F238E27FC236}">
              <a16:creationId xmlns:a16="http://schemas.microsoft.com/office/drawing/2014/main" id="{00000000-0008-0000-0300-00001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68548" y="2928937"/>
          <a:ext cx="182563" cy="250825"/>
        </a:xfrm>
        <a:prstGeom prst="rect">
          <a:avLst/>
        </a:prstGeom>
        <a:noFill/>
        <a:ln>
          <a:noFill/>
        </a:ln>
      </xdr:spPr>
    </xdr:pic>
    <xdr:clientData/>
  </xdr:twoCellAnchor>
  <xdr:twoCellAnchor editAs="oneCell">
    <xdr:from>
      <xdr:col>21</xdr:col>
      <xdr:colOff>101604</xdr:colOff>
      <xdr:row>13</xdr:row>
      <xdr:rowOff>71434</xdr:rowOff>
    </xdr:from>
    <xdr:to>
      <xdr:col>22</xdr:col>
      <xdr:colOff>131766</xdr:colOff>
      <xdr:row>15</xdr:row>
      <xdr:rowOff>74609</xdr:rowOff>
    </xdr:to>
    <xdr:pic>
      <xdr:nvPicPr>
        <xdr:cNvPr id="26" name="Picture 25" descr="C:\Users\OMS 179\Downloads\crs.png">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49654" y="2909884"/>
          <a:ext cx="182562" cy="250825"/>
        </a:xfrm>
        <a:prstGeom prst="rect">
          <a:avLst/>
        </a:prstGeom>
        <a:noFill/>
        <a:ln>
          <a:noFill/>
        </a:ln>
      </xdr:spPr>
    </xdr:pic>
    <xdr:clientData/>
  </xdr:twoCellAnchor>
  <xdr:twoCellAnchor>
    <xdr:from>
      <xdr:col>29</xdr:col>
      <xdr:colOff>50796</xdr:colOff>
      <xdr:row>14</xdr:row>
      <xdr:rowOff>1</xdr:rowOff>
    </xdr:from>
    <xdr:to>
      <xdr:col>31</xdr:col>
      <xdr:colOff>116512</xdr:colOff>
      <xdr:row>15</xdr:row>
      <xdr:rowOff>36038</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4718046" y="2781301"/>
          <a:ext cx="370516" cy="159862"/>
          <a:chOff x="2889246" y="611189"/>
          <a:chExt cx="367341" cy="163037"/>
        </a:xfrm>
      </xdr:grpSpPr>
      <xdr:pic>
        <xdr:nvPicPr>
          <xdr:cNvPr id="28" name="Picture 27" descr="C:\Users\OMS 179\Downloads\bap.png">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29" name="Picture 28" descr="C:\Users\OMS 179\Downloads\bap.png">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clientData/>
  </xdr:twoCellAnchor>
  <xdr:twoCellAnchor>
    <xdr:from>
      <xdr:col>37</xdr:col>
      <xdr:colOff>49208</xdr:colOff>
      <xdr:row>13</xdr:row>
      <xdr:rowOff>119062</xdr:rowOff>
    </xdr:from>
    <xdr:to>
      <xdr:col>39</xdr:col>
      <xdr:colOff>116512</xdr:colOff>
      <xdr:row>15</xdr:row>
      <xdr:rowOff>28099</xdr:rowOff>
    </xdr:to>
    <xdr:grpSp>
      <xdr:nvGrpSpPr>
        <xdr:cNvPr id="30" name="Group 29">
          <a:extLst>
            <a:ext uri="{FF2B5EF4-FFF2-40B4-BE49-F238E27FC236}">
              <a16:creationId xmlns:a16="http://schemas.microsoft.com/office/drawing/2014/main" id="{00000000-0008-0000-0300-00001E000000}"/>
            </a:ext>
          </a:extLst>
        </xdr:cNvPr>
        <xdr:cNvGrpSpPr/>
      </xdr:nvGrpSpPr>
      <xdr:grpSpPr>
        <a:xfrm>
          <a:off x="5935658" y="2776537"/>
          <a:ext cx="372104" cy="156687"/>
          <a:chOff x="2889246" y="611189"/>
          <a:chExt cx="367341" cy="163037"/>
        </a:xfrm>
      </xdr:grpSpPr>
      <xdr:pic>
        <xdr:nvPicPr>
          <xdr:cNvPr id="31" name="Picture 30" descr="C:\Users\OMS 179\Downloads\bap.png">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32" name="Picture 31" descr="C:\Users\OMS 179\Downloads\bap.png">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clientData/>
  </xdr:twoCellAnchor>
  <xdr:twoCellAnchor>
    <xdr:from>
      <xdr:col>34</xdr:col>
      <xdr:colOff>88242</xdr:colOff>
      <xdr:row>38</xdr:row>
      <xdr:rowOff>120936</xdr:rowOff>
    </xdr:from>
    <xdr:to>
      <xdr:col>36</xdr:col>
      <xdr:colOff>57762</xdr:colOff>
      <xdr:row>39</xdr:row>
      <xdr:rowOff>115469</xdr:rowOff>
    </xdr:to>
    <xdr:grpSp>
      <xdr:nvGrpSpPr>
        <xdr:cNvPr id="33" name="Group 32">
          <a:extLst>
            <a:ext uri="{FF2B5EF4-FFF2-40B4-BE49-F238E27FC236}">
              <a16:creationId xmlns:a16="http://schemas.microsoft.com/office/drawing/2014/main" id="{00000000-0008-0000-0300-000021000000}"/>
            </a:ext>
          </a:extLst>
        </xdr:cNvPr>
        <xdr:cNvGrpSpPr>
          <a:grpSpLocks noChangeAspect="1"/>
        </xdr:cNvGrpSpPr>
      </xdr:nvGrpSpPr>
      <xdr:grpSpPr>
        <a:xfrm>
          <a:off x="5517492" y="7540911"/>
          <a:ext cx="274320" cy="223133"/>
          <a:chOff x="2889246" y="611189"/>
          <a:chExt cx="367341" cy="163037"/>
        </a:xfrm>
      </xdr:grpSpPr>
      <xdr:pic>
        <xdr:nvPicPr>
          <xdr:cNvPr id="34" name="Picture 33" descr="C:\Users\OMS 179\Downloads\bap.png">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89246" y="611189"/>
            <a:ext cx="365760" cy="74141"/>
          </a:xfrm>
          <a:prstGeom prst="rect">
            <a:avLst/>
          </a:prstGeom>
          <a:noFill/>
          <a:ln>
            <a:noFill/>
          </a:ln>
        </xdr:spPr>
      </xdr:pic>
      <xdr:pic>
        <xdr:nvPicPr>
          <xdr:cNvPr id="35" name="Picture 34" descr="C:\Users\OMS 179\Downloads\bap.png">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90827" y="700085"/>
            <a:ext cx="365760" cy="74141"/>
          </a:xfrm>
          <a:prstGeom prst="rect">
            <a:avLst/>
          </a:prstGeom>
          <a:noFill/>
          <a:ln>
            <a:noFill/>
          </a:ln>
        </xdr:spPr>
      </xdr:pic>
    </xdr:grpSp>
    <xdr:clientData/>
  </xdr:twoCellAnchor>
  <xdr:twoCellAnchor editAs="oneCell">
    <xdr:from>
      <xdr:col>38</xdr:col>
      <xdr:colOff>122237</xdr:colOff>
      <xdr:row>14</xdr:row>
      <xdr:rowOff>71437</xdr:rowOff>
    </xdr:from>
    <xdr:to>
      <xdr:col>40</xdr:col>
      <xdr:colOff>26988</xdr:colOff>
      <xdr:row>15</xdr:row>
      <xdr:rowOff>70802</xdr:rowOff>
    </xdr:to>
    <xdr:pic>
      <xdr:nvPicPr>
        <xdr:cNvPr id="36" name="Picture 35">
          <a:extLst>
            <a:ext uri="{FF2B5EF4-FFF2-40B4-BE49-F238E27FC236}">
              <a16:creationId xmlns:a16="http://schemas.microsoft.com/office/drawing/2014/main" id="{00000000-0008-0000-0300-000024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161087" y="3033712"/>
          <a:ext cx="209551" cy="123190"/>
        </a:xfrm>
        <a:prstGeom prst="rect">
          <a:avLst/>
        </a:prstGeom>
        <a:noFill/>
        <a:ln>
          <a:noFill/>
        </a:ln>
      </xdr:spPr>
    </xdr:pic>
    <xdr:clientData/>
  </xdr:twoCellAnchor>
  <xdr:twoCellAnchor editAs="oneCell">
    <xdr:from>
      <xdr:col>22</xdr:col>
      <xdr:colOff>38109</xdr:colOff>
      <xdr:row>14</xdr:row>
      <xdr:rowOff>71439</xdr:rowOff>
    </xdr:from>
    <xdr:to>
      <xdr:col>23</xdr:col>
      <xdr:colOff>95260</xdr:colOff>
      <xdr:row>15</xdr:row>
      <xdr:rowOff>70804</xdr:rowOff>
    </xdr:to>
    <xdr:pic>
      <xdr:nvPicPr>
        <xdr:cNvPr id="37" name="Picture 36">
          <a:extLst>
            <a:ext uri="{FF2B5EF4-FFF2-40B4-BE49-F238E27FC236}">
              <a16:creationId xmlns:a16="http://schemas.microsoft.com/office/drawing/2014/main" id="{00000000-0008-0000-0300-00002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638559" y="3033714"/>
          <a:ext cx="209551" cy="123190"/>
        </a:xfrm>
        <a:prstGeom prst="rect">
          <a:avLst/>
        </a:prstGeom>
        <a:noFill/>
        <a:ln>
          <a:noFill/>
        </a:ln>
      </xdr:spPr>
    </xdr:pic>
    <xdr:clientData/>
  </xdr:twoCellAnchor>
  <xdr:twoCellAnchor editAs="oneCell">
    <xdr:from>
      <xdr:col>34</xdr:col>
      <xdr:colOff>55564</xdr:colOff>
      <xdr:row>32</xdr:row>
      <xdr:rowOff>121865</xdr:rowOff>
    </xdr:from>
    <xdr:to>
      <xdr:col>36</xdr:col>
      <xdr:colOff>85017</xdr:colOff>
      <xdr:row>33</xdr:row>
      <xdr:rowOff>47541</xdr:rowOff>
    </xdr:to>
    <xdr:pic>
      <xdr:nvPicPr>
        <xdr:cNvPr id="38" name="Picture 37">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445593" y="5920909"/>
          <a:ext cx="332012" cy="154887"/>
        </a:xfrm>
        <a:prstGeom prst="rect">
          <a:avLst/>
        </a:prstGeom>
      </xdr:spPr>
    </xdr:pic>
    <xdr:clientData/>
  </xdr:twoCellAnchor>
  <xdr:twoCellAnchor editAs="oneCell">
    <xdr:from>
      <xdr:col>34</xdr:col>
      <xdr:colOff>112060</xdr:colOff>
      <xdr:row>30</xdr:row>
      <xdr:rowOff>87315</xdr:rowOff>
    </xdr:from>
    <xdr:to>
      <xdr:col>36</xdr:col>
      <xdr:colOff>10785</xdr:colOff>
      <xdr:row>31</xdr:row>
      <xdr:rowOff>131303</xdr:rowOff>
    </xdr:to>
    <xdr:pic>
      <xdr:nvPicPr>
        <xdr:cNvPr id="39" name="Picture 38">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502089" y="5516565"/>
          <a:ext cx="201284" cy="273200"/>
        </a:xfrm>
        <a:prstGeom prst="rect">
          <a:avLst/>
        </a:prstGeom>
      </xdr:spPr>
    </xdr:pic>
    <xdr:clientData/>
  </xdr:twoCellAnchor>
  <xdr:twoCellAnchor editAs="oneCell">
    <xdr:from>
      <xdr:col>34</xdr:col>
      <xdr:colOff>31753</xdr:colOff>
      <xdr:row>28</xdr:row>
      <xdr:rowOff>71438</xdr:rowOff>
    </xdr:from>
    <xdr:to>
      <xdr:col>36</xdr:col>
      <xdr:colOff>84960</xdr:colOff>
      <xdr:row>29</xdr:row>
      <xdr:rowOff>115425</xdr:rowOff>
    </xdr:to>
    <xdr:pic>
      <xdr:nvPicPr>
        <xdr:cNvPr id="40" name="Picture 39">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03803" y="6996113"/>
          <a:ext cx="358007" cy="274320"/>
        </a:xfrm>
        <a:prstGeom prst="rect">
          <a:avLst/>
        </a:prstGeom>
      </xdr:spPr>
    </xdr:pic>
    <xdr:clientData/>
  </xdr:twoCellAnchor>
  <xdr:twoCellAnchor editAs="oneCell">
    <xdr:from>
      <xdr:col>34</xdr:col>
      <xdr:colOff>87315</xdr:colOff>
      <xdr:row>26</xdr:row>
      <xdr:rowOff>87312</xdr:rowOff>
    </xdr:from>
    <xdr:to>
      <xdr:col>36</xdr:col>
      <xdr:colOff>79950</xdr:colOff>
      <xdr:row>27</xdr:row>
      <xdr:rowOff>131300</xdr:rowOff>
    </xdr:to>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477344" y="4776974"/>
          <a:ext cx="295194" cy="273199"/>
        </a:xfrm>
        <a:prstGeom prst="rect">
          <a:avLst/>
        </a:prstGeom>
      </xdr:spPr>
    </xdr:pic>
    <xdr:clientData/>
  </xdr:twoCellAnchor>
  <xdr:twoCellAnchor editAs="oneCell">
    <xdr:from>
      <xdr:col>34</xdr:col>
      <xdr:colOff>91519</xdr:colOff>
      <xdr:row>36</xdr:row>
      <xdr:rowOff>49026</xdr:rowOff>
    </xdr:from>
    <xdr:to>
      <xdr:col>36</xdr:col>
      <xdr:colOff>61024</xdr:colOff>
      <xdr:row>37</xdr:row>
      <xdr:rowOff>66702</xdr:rowOff>
    </xdr:to>
    <xdr:pic>
      <xdr:nvPicPr>
        <xdr:cNvPr id="42" name="Picture 41">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481548" y="6587658"/>
          <a:ext cx="272064" cy="246888"/>
        </a:xfrm>
        <a:prstGeom prst="rect">
          <a:avLst/>
        </a:prstGeom>
      </xdr:spPr>
    </xdr:pic>
    <xdr:clientData/>
  </xdr:twoCellAnchor>
  <xdr:twoCellAnchor editAs="oneCell">
    <xdr:from>
      <xdr:col>34</xdr:col>
      <xdr:colOff>61165</xdr:colOff>
      <xdr:row>34</xdr:row>
      <xdr:rowOff>36886</xdr:rowOff>
    </xdr:from>
    <xdr:to>
      <xdr:col>36</xdr:col>
      <xdr:colOff>40465</xdr:colOff>
      <xdr:row>35</xdr:row>
      <xdr:rowOff>80875</xdr:rowOff>
    </xdr:to>
    <xdr:pic>
      <xdr:nvPicPr>
        <xdr:cNvPr id="43" name="Picture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451194" y="6205724"/>
          <a:ext cx="281859" cy="273200"/>
        </a:xfrm>
        <a:prstGeom prst="rect">
          <a:avLst/>
        </a:prstGeom>
      </xdr:spPr>
    </xdr:pic>
    <xdr:clientData/>
  </xdr:twoCellAnchor>
  <xdr:twoCellAnchor editAs="oneCell">
    <xdr:from>
      <xdr:col>34</xdr:col>
      <xdr:colOff>103188</xdr:colOff>
      <xdr:row>24</xdr:row>
      <xdr:rowOff>63500</xdr:rowOff>
    </xdr:from>
    <xdr:to>
      <xdr:col>36</xdr:col>
      <xdr:colOff>83710</xdr:colOff>
      <xdr:row>25</xdr:row>
      <xdr:rowOff>107489</xdr:rowOff>
    </xdr:to>
    <xdr:pic>
      <xdr:nvPicPr>
        <xdr:cNvPr id="44" name="Picture 43">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837238" y="4387850"/>
          <a:ext cx="285322" cy="274320"/>
        </a:xfrm>
        <a:prstGeom prst="rect">
          <a:avLst/>
        </a:prstGeom>
      </xdr:spPr>
    </xdr:pic>
    <xdr:clientData/>
  </xdr:twoCellAnchor>
  <xdr:twoCellAnchor editAs="oneCell">
    <xdr:from>
      <xdr:col>34</xdr:col>
      <xdr:colOff>102721</xdr:colOff>
      <xdr:row>40</xdr:row>
      <xdr:rowOff>59298</xdr:rowOff>
    </xdr:from>
    <xdr:to>
      <xdr:col>36</xdr:col>
      <xdr:colOff>82021</xdr:colOff>
      <xdr:row>41</xdr:row>
      <xdr:rowOff>110213</xdr:rowOff>
    </xdr:to>
    <xdr:pic>
      <xdr:nvPicPr>
        <xdr:cNvPr id="45" name="Picture 44">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492750" y="7337519"/>
          <a:ext cx="281859" cy="276561"/>
        </a:xfrm>
        <a:prstGeom prst="rect">
          <a:avLst/>
        </a:prstGeom>
      </xdr:spPr>
    </xdr:pic>
    <xdr:clientData/>
  </xdr:twoCellAnchor>
  <xdr:twoCellAnchor>
    <xdr:from>
      <xdr:col>23</xdr:col>
      <xdr:colOff>0</xdr:colOff>
      <xdr:row>19</xdr:row>
      <xdr:rowOff>0</xdr:rowOff>
    </xdr:from>
    <xdr:to>
      <xdr:col>24</xdr:col>
      <xdr:colOff>95250</xdr:colOff>
      <xdr:row>21</xdr:row>
      <xdr:rowOff>0</xdr:rowOff>
    </xdr:to>
    <xdr:sp macro="" textlink="">
      <xdr:nvSpPr>
        <xdr:cNvPr id="109" name="Text Box 28">
          <a:extLst>
            <a:ext uri="{FF2B5EF4-FFF2-40B4-BE49-F238E27FC236}">
              <a16:creationId xmlns:a16="http://schemas.microsoft.com/office/drawing/2014/main" id="{00000000-0008-0000-0300-00006D000000}"/>
            </a:ext>
          </a:extLst>
        </xdr:cNvPr>
        <xdr:cNvSpPr txBox="1"/>
      </xdr:nvSpPr>
      <xdr:spPr>
        <a:xfrm>
          <a:off x="2381250" y="6677025"/>
          <a:ext cx="247650" cy="244475"/>
        </a:xfrm>
        <a:prstGeom prst="rect">
          <a:avLst/>
        </a:prstGeom>
        <a:noFill/>
        <a:ln w="6350">
          <a:noFill/>
        </a:ln>
      </xdr:spPr>
      <xdr:txBody>
        <a:bodyPr rot="0" spcFirstLastPara="0" vert="horz" wrap="square" lIns="0" tIns="45720" rIns="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endParaRPr lang="en-US" sz="1100">
            <a:effectLst/>
            <a:latin typeface="Calibri" panose="020F0502020204030204" pitchFamily="34" charset="0"/>
            <a:ea typeface="Calibri" panose="020F0502020204030204" pitchFamily="34" charset="0"/>
            <a:cs typeface="Vrinda" panose="020B0502040204020203" pitchFamily="34" charset="0"/>
          </a:endParaRPr>
        </a:p>
      </xdr:txBody>
    </xdr:sp>
    <xdr:clientData/>
  </xdr:twoCellAnchor>
  <xdr:twoCellAnchor>
    <xdr:from>
      <xdr:col>50</xdr:col>
      <xdr:colOff>123825</xdr:colOff>
      <xdr:row>33</xdr:row>
      <xdr:rowOff>0</xdr:rowOff>
    </xdr:from>
    <xdr:to>
      <xdr:col>51</xdr:col>
      <xdr:colOff>304800</xdr:colOff>
      <xdr:row>35</xdr:row>
      <xdr:rowOff>0</xdr:rowOff>
    </xdr:to>
    <xdr:sp macro="" textlink="">
      <xdr:nvSpPr>
        <xdr:cNvPr id="110" name="Text Box 11">
          <a:extLst>
            <a:ext uri="{FF2B5EF4-FFF2-40B4-BE49-F238E27FC236}">
              <a16:creationId xmlns:a16="http://schemas.microsoft.com/office/drawing/2014/main" id="{00000000-0008-0000-0300-00006E000000}"/>
            </a:ext>
          </a:extLst>
        </xdr:cNvPr>
        <xdr:cNvSpPr txBox="1">
          <a:spLocks noChangeArrowheads="1"/>
        </xdr:cNvSpPr>
      </xdr:nvSpPr>
      <xdr:spPr bwMode="auto">
        <a:xfrm>
          <a:off x="8479848" y="6442364"/>
          <a:ext cx="184438" cy="5022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50</xdr:col>
      <xdr:colOff>123825</xdr:colOff>
      <xdr:row>35</xdr:row>
      <xdr:rowOff>0</xdr:rowOff>
    </xdr:from>
    <xdr:to>
      <xdr:col>51</xdr:col>
      <xdr:colOff>304800</xdr:colOff>
      <xdr:row>37</xdr:row>
      <xdr:rowOff>0</xdr:rowOff>
    </xdr:to>
    <xdr:sp macro="" textlink="">
      <xdr:nvSpPr>
        <xdr:cNvPr id="111" name="Text Box 11">
          <a:extLst>
            <a:ext uri="{FF2B5EF4-FFF2-40B4-BE49-F238E27FC236}">
              <a16:creationId xmlns:a16="http://schemas.microsoft.com/office/drawing/2014/main" id="{00000000-0008-0000-0300-00006F000000}"/>
            </a:ext>
          </a:extLst>
        </xdr:cNvPr>
        <xdr:cNvSpPr txBox="1">
          <a:spLocks noChangeArrowheads="1"/>
        </xdr:cNvSpPr>
      </xdr:nvSpPr>
      <xdr:spPr bwMode="auto">
        <a:xfrm>
          <a:off x="8479848" y="6944591"/>
          <a:ext cx="184438" cy="5022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50</xdr:col>
      <xdr:colOff>123825</xdr:colOff>
      <xdr:row>26</xdr:row>
      <xdr:rowOff>0</xdr:rowOff>
    </xdr:from>
    <xdr:to>
      <xdr:col>51</xdr:col>
      <xdr:colOff>304800</xdr:colOff>
      <xdr:row>28</xdr:row>
      <xdr:rowOff>0</xdr:rowOff>
    </xdr:to>
    <xdr:sp macro="" textlink="">
      <xdr:nvSpPr>
        <xdr:cNvPr id="112" name="Text Box 11">
          <a:extLst>
            <a:ext uri="{FF2B5EF4-FFF2-40B4-BE49-F238E27FC236}">
              <a16:creationId xmlns:a16="http://schemas.microsoft.com/office/drawing/2014/main" id="{00000000-0008-0000-0300-000070000000}"/>
            </a:ext>
          </a:extLst>
        </xdr:cNvPr>
        <xdr:cNvSpPr txBox="1">
          <a:spLocks noChangeArrowheads="1"/>
        </xdr:cNvSpPr>
      </xdr:nvSpPr>
      <xdr:spPr bwMode="auto">
        <a:xfrm>
          <a:off x="8479848" y="6130636"/>
          <a:ext cx="184438" cy="5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0</xdr:colOff>
      <xdr:row>30</xdr:row>
      <xdr:rowOff>0</xdr:rowOff>
    </xdr:from>
    <xdr:to>
      <xdr:col>15</xdr:col>
      <xdr:colOff>95250</xdr:colOff>
      <xdr:row>31</xdr:row>
      <xdr:rowOff>0</xdr:rowOff>
    </xdr:to>
    <xdr:sp macro="" textlink="">
      <xdr:nvSpPr>
        <xdr:cNvPr id="2" name="Text Box 28">
          <a:extLst>
            <a:ext uri="{FF2B5EF4-FFF2-40B4-BE49-F238E27FC236}">
              <a16:creationId xmlns:a16="http://schemas.microsoft.com/office/drawing/2014/main" id="{00000000-0008-0000-0400-000002000000}"/>
            </a:ext>
          </a:extLst>
        </xdr:cNvPr>
        <xdr:cNvSpPr txBox="1"/>
      </xdr:nvSpPr>
      <xdr:spPr>
        <a:xfrm>
          <a:off x="2381250" y="4029075"/>
          <a:ext cx="247650" cy="190500"/>
        </a:xfrm>
        <a:prstGeom prst="rect">
          <a:avLst/>
        </a:prstGeom>
        <a:noFill/>
        <a:ln w="6350">
          <a:noFill/>
        </a:ln>
      </xdr:spPr>
      <xdr:txBody>
        <a:bodyPr rot="0" spcFirstLastPara="0" vert="horz" wrap="square" lIns="0" tIns="45720" rIns="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endParaRPr lang="en-US" sz="1100">
            <a:effectLst/>
            <a:latin typeface="Calibri" panose="020F0502020204030204" pitchFamily="34" charset="0"/>
            <a:ea typeface="Calibri" panose="020F0502020204030204" pitchFamily="34" charset="0"/>
            <a:cs typeface="Vrinda" panose="020B0502040204020203" pitchFamily="34" charset="0"/>
          </a:endParaRPr>
        </a:p>
      </xdr:txBody>
    </xdr:sp>
    <xdr:clientData/>
  </xdr:twoCellAnchor>
  <xdr:twoCellAnchor>
    <xdr:from>
      <xdr:col>49</xdr:col>
      <xdr:colOff>523875</xdr:colOff>
      <xdr:row>33</xdr:row>
      <xdr:rowOff>0</xdr:rowOff>
    </xdr:from>
    <xdr:to>
      <xdr:col>51</xdr:col>
      <xdr:colOff>0</xdr:colOff>
      <xdr:row>33</xdr:row>
      <xdr:rowOff>28575</xdr:rowOff>
    </xdr:to>
    <xdr:sp macro="" textlink="">
      <xdr:nvSpPr>
        <xdr:cNvPr id="3" name="Text Box 113">
          <a:extLst>
            <a:ext uri="{FF2B5EF4-FFF2-40B4-BE49-F238E27FC236}">
              <a16:creationId xmlns:a16="http://schemas.microsoft.com/office/drawing/2014/main" id="{00000000-0008-0000-0400-000003000000}"/>
            </a:ext>
          </a:extLst>
        </xdr:cNvPr>
        <xdr:cNvSpPr txBox="1">
          <a:spLocks noChangeArrowheads="1"/>
        </xdr:cNvSpPr>
      </xdr:nvSpPr>
      <xdr:spPr bwMode="auto">
        <a:xfrm>
          <a:off x="8648700" y="4676775"/>
          <a:ext cx="152400"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50</xdr:col>
      <xdr:colOff>266700</xdr:colOff>
      <xdr:row>31</xdr:row>
      <xdr:rowOff>0</xdr:rowOff>
    </xdr:from>
    <xdr:to>
      <xdr:col>51</xdr:col>
      <xdr:colOff>266700</xdr:colOff>
      <xdr:row>33</xdr:row>
      <xdr:rowOff>0</xdr:rowOff>
    </xdr:to>
    <xdr:sp macro="" textlink="">
      <xdr:nvSpPr>
        <xdr:cNvPr id="4" name="Text Box 5">
          <a:extLst>
            <a:ext uri="{FF2B5EF4-FFF2-40B4-BE49-F238E27FC236}">
              <a16:creationId xmlns:a16="http://schemas.microsoft.com/office/drawing/2014/main" id="{00000000-0008-0000-0400-000004000000}"/>
            </a:ext>
          </a:extLst>
        </xdr:cNvPr>
        <xdr:cNvSpPr txBox="1">
          <a:spLocks noChangeArrowheads="1"/>
        </xdr:cNvSpPr>
      </xdr:nvSpPr>
      <xdr:spPr bwMode="auto">
        <a:xfrm>
          <a:off x="8801100" y="4219575"/>
          <a:ext cx="1524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66</xdr:col>
      <xdr:colOff>76200</xdr:colOff>
      <xdr:row>33</xdr:row>
      <xdr:rowOff>0</xdr:rowOff>
    </xdr:from>
    <xdr:to>
      <xdr:col>67</xdr:col>
      <xdr:colOff>257175</xdr:colOff>
      <xdr:row>34</xdr:row>
      <xdr:rowOff>0</xdr:rowOff>
    </xdr:to>
    <xdr:sp macro="" textlink="">
      <xdr:nvSpPr>
        <xdr:cNvPr id="5" name="Text Box 110">
          <a:extLst>
            <a:ext uri="{FF2B5EF4-FFF2-40B4-BE49-F238E27FC236}">
              <a16:creationId xmlns:a16="http://schemas.microsoft.com/office/drawing/2014/main" id="{00000000-0008-0000-0400-000005000000}"/>
            </a:ext>
          </a:extLst>
        </xdr:cNvPr>
        <xdr:cNvSpPr txBox="1">
          <a:spLocks noChangeArrowheads="1"/>
        </xdr:cNvSpPr>
      </xdr:nvSpPr>
      <xdr:spPr bwMode="auto">
        <a:xfrm>
          <a:off x="16192500" y="4676775"/>
          <a:ext cx="7905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62</xdr:col>
      <xdr:colOff>428625</xdr:colOff>
      <xdr:row>33</xdr:row>
      <xdr:rowOff>0</xdr:rowOff>
    </xdr:from>
    <xdr:to>
      <xdr:col>63</xdr:col>
      <xdr:colOff>485775</xdr:colOff>
      <xdr:row>36</xdr:row>
      <xdr:rowOff>38100</xdr:rowOff>
    </xdr:to>
    <xdr:sp macro="" textlink="">
      <xdr:nvSpPr>
        <xdr:cNvPr id="6" name="Text Box 109">
          <a:extLst>
            <a:ext uri="{FF2B5EF4-FFF2-40B4-BE49-F238E27FC236}">
              <a16:creationId xmlns:a16="http://schemas.microsoft.com/office/drawing/2014/main" id="{00000000-0008-0000-0400-000006000000}"/>
            </a:ext>
          </a:extLst>
        </xdr:cNvPr>
        <xdr:cNvSpPr txBox="1">
          <a:spLocks noChangeArrowheads="1"/>
        </xdr:cNvSpPr>
      </xdr:nvSpPr>
      <xdr:spPr bwMode="auto">
        <a:xfrm>
          <a:off x="14106525" y="4676775"/>
          <a:ext cx="66675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65</xdr:col>
      <xdr:colOff>76200</xdr:colOff>
      <xdr:row>33</xdr:row>
      <xdr:rowOff>0</xdr:rowOff>
    </xdr:from>
    <xdr:to>
      <xdr:col>66</xdr:col>
      <xdr:colOff>257175</xdr:colOff>
      <xdr:row>36</xdr:row>
      <xdr:rowOff>0</xdr:rowOff>
    </xdr:to>
    <xdr:sp macro="" textlink="">
      <xdr:nvSpPr>
        <xdr:cNvPr id="7" name="Text Box 3">
          <a:extLst>
            <a:ext uri="{FF2B5EF4-FFF2-40B4-BE49-F238E27FC236}">
              <a16:creationId xmlns:a16="http://schemas.microsoft.com/office/drawing/2014/main" id="{00000000-0008-0000-0400-000007000000}"/>
            </a:ext>
          </a:extLst>
        </xdr:cNvPr>
        <xdr:cNvSpPr txBox="1">
          <a:spLocks noChangeArrowheads="1"/>
        </xdr:cNvSpPr>
      </xdr:nvSpPr>
      <xdr:spPr bwMode="auto">
        <a:xfrm>
          <a:off x="15582900" y="4676775"/>
          <a:ext cx="7905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47</xdr:col>
      <xdr:colOff>0</xdr:colOff>
      <xdr:row>35</xdr:row>
      <xdr:rowOff>0</xdr:rowOff>
    </xdr:from>
    <xdr:to>
      <xdr:col>48</xdr:col>
      <xdr:colOff>0</xdr:colOff>
      <xdr:row>37</xdr:row>
      <xdr:rowOff>0</xdr:rowOff>
    </xdr:to>
    <xdr:sp macro="" textlink="">
      <xdr:nvSpPr>
        <xdr:cNvPr id="8" name="Text Box 9">
          <a:extLst>
            <a:ext uri="{FF2B5EF4-FFF2-40B4-BE49-F238E27FC236}">
              <a16:creationId xmlns:a16="http://schemas.microsoft.com/office/drawing/2014/main" id="{00000000-0008-0000-0400-000008000000}"/>
            </a:ext>
          </a:extLst>
        </xdr:cNvPr>
        <xdr:cNvSpPr txBox="1">
          <a:spLocks noChangeArrowheads="1"/>
        </xdr:cNvSpPr>
      </xdr:nvSpPr>
      <xdr:spPr bwMode="auto">
        <a:xfrm>
          <a:off x="8191500" y="4905375"/>
          <a:ext cx="1524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49</xdr:col>
      <xdr:colOff>428625</xdr:colOff>
      <xdr:row>36</xdr:row>
      <xdr:rowOff>0</xdr:rowOff>
    </xdr:from>
    <xdr:to>
      <xdr:col>51</xdr:col>
      <xdr:colOff>200025</xdr:colOff>
      <xdr:row>38</xdr:row>
      <xdr:rowOff>76200</xdr:rowOff>
    </xdr:to>
    <xdr:sp macro="" textlink="">
      <xdr:nvSpPr>
        <xdr:cNvPr id="9" name="Text Box 120">
          <a:extLst>
            <a:ext uri="{FF2B5EF4-FFF2-40B4-BE49-F238E27FC236}">
              <a16:creationId xmlns:a16="http://schemas.microsoft.com/office/drawing/2014/main" id="{00000000-0008-0000-0400-000009000000}"/>
            </a:ext>
          </a:extLst>
        </xdr:cNvPr>
        <xdr:cNvSpPr txBox="1">
          <a:spLocks noChangeArrowheads="1"/>
        </xdr:cNvSpPr>
      </xdr:nvSpPr>
      <xdr:spPr bwMode="auto">
        <a:xfrm>
          <a:off x="8648700" y="5133975"/>
          <a:ext cx="30480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51</xdr:col>
      <xdr:colOff>371475</xdr:colOff>
      <xdr:row>36</xdr:row>
      <xdr:rowOff>0</xdr:rowOff>
    </xdr:from>
    <xdr:to>
      <xdr:col>52</xdr:col>
      <xdr:colOff>552450</xdr:colOff>
      <xdr:row>38</xdr:row>
      <xdr:rowOff>76200</xdr:rowOff>
    </xdr:to>
    <xdr:sp macro="" textlink="">
      <xdr:nvSpPr>
        <xdr:cNvPr id="10" name="Text Box 124">
          <a:extLst>
            <a:ext uri="{FF2B5EF4-FFF2-40B4-BE49-F238E27FC236}">
              <a16:creationId xmlns:a16="http://schemas.microsoft.com/office/drawing/2014/main" id="{00000000-0008-0000-0400-00000A000000}"/>
            </a:ext>
          </a:extLst>
        </xdr:cNvPr>
        <xdr:cNvSpPr txBox="1">
          <a:spLocks noChangeArrowheads="1"/>
        </xdr:cNvSpPr>
      </xdr:nvSpPr>
      <xdr:spPr bwMode="auto">
        <a:xfrm>
          <a:off x="8953500" y="5133975"/>
          <a:ext cx="15240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48</xdr:col>
      <xdr:colOff>85725</xdr:colOff>
      <xdr:row>36</xdr:row>
      <xdr:rowOff>47625</xdr:rowOff>
    </xdr:from>
    <xdr:to>
      <xdr:col>49</xdr:col>
      <xdr:colOff>266700</xdr:colOff>
      <xdr:row>39</xdr:row>
      <xdr:rowOff>0</xdr:rowOff>
    </xdr:to>
    <xdr:sp macro="" textlink="">
      <xdr:nvSpPr>
        <xdr:cNvPr id="11" name="Text Box 111">
          <a:extLst>
            <a:ext uri="{FF2B5EF4-FFF2-40B4-BE49-F238E27FC236}">
              <a16:creationId xmlns:a16="http://schemas.microsoft.com/office/drawing/2014/main" id="{00000000-0008-0000-0400-00000B000000}"/>
            </a:ext>
          </a:extLst>
        </xdr:cNvPr>
        <xdr:cNvSpPr txBox="1">
          <a:spLocks noChangeArrowheads="1"/>
        </xdr:cNvSpPr>
      </xdr:nvSpPr>
      <xdr:spPr bwMode="auto">
        <a:xfrm>
          <a:off x="8429625" y="5181600"/>
          <a:ext cx="2190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52</xdr:col>
      <xdr:colOff>542925</xdr:colOff>
      <xdr:row>36</xdr:row>
      <xdr:rowOff>0</xdr:rowOff>
    </xdr:from>
    <xdr:to>
      <xdr:col>53</xdr:col>
      <xdr:colOff>533400</xdr:colOff>
      <xdr:row>38</xdr:row>
      <xdr:rowOff>0</xdr:rowOff>
    </xdr:to>
    <xdr:sp macro="" textlink="">
      <xdr:nvSpPr>
        <xdr:cNvPr id="12" name="Text Box 19">
          <a:extLst>
            <a:ext uri="{FF2B5EF4-FFF2-40B4-BE49-F238E27FC236}">
              <a16:creationId xmlns:a16="http://schemas.microsoft.com/office/drawing/2014/main" id="{00000000-0008-0000-0400-00000C000000}"/>
            </a:ext>
          </a:extLst>
        </xdr:cNvPr>
        <xdr:cNvSpPr txBox="1">
          <a:spLocks noChangeArrowheads="1"/>
        </xdr:cNvSpPr>
      </xdr:nvSpPr>
      <xdr:spPr bwMode="auto">
        <a:xfrm>
          <a:off x="9105900" y="5133975"/>
          <a:ext cx="1524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48</xdr:col>
      <xdr:colOff>457200</xdr:colOff>
      <xdr:row>38</xdr:row>
      <xdr:rowOff>85725</xdr:rowOff>
    </xdr:from>
    <xdr:to>
      <xdr:col>50</xdr:col>
      <xdr:colOff>28575</xdr:colOff>
      <xdr:row>41</xdr:row>
      <xdr:rowOff>0</xdr:rowOff>
    </xdr:to>
    <xdr:sp macro="" textlink="">
      <xdr:nvSpPr>
        <xdr:cNvPr id="13" name="Text Box 112">
          <a:extLst>
            <a:ext uri="{FF2B5EF4-FFF2-40B4-BE49-F238E27FC236}">
              <a16:creationId xmlns:a16="http://schemas.microsoft.com/office/drawing/2014/main" id="{00000000-0008-0000-0400-00000D000000}"/>
            </a:ext>
          </a:extLst>
        </xdr:cNvPr>
        <xdr:cNvSpPr txBox="1">
          <a:spLocks noChangeArrowheads="1"/>
        </xdr:cNvSpPr>
      </xdr:nvSpPr>
      <xdr:spPr bwMode="auto">
        <a:xfrm>
          <a:off x="8496300" y="5676900"/>
          <a:ext cx="18097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51</xdr:col>
      <xdr:colOff>142875</xdr:colOff>
      <xdr:row>38</xdr:row>
      <xdr:rowOff>85725</xdr:rowOff>
    </xdr:from>
    <xdr:to>
      <xdr:col>52</xdr:col>
      <xdr:colOff>323850</xdr:colOff>
      <xdr:row>41</xdr:row>
      <xdr:rowOff>0</xdr:rowOff>
    </xdr:to>
    <xdr:sp macro="" textlink="">
      <xdr:nvSpPr>
        <xdr:cNvPr id="14" name="Text Box 121">
          <a:extLst>
            <a:ext uri="{FF2B5EF4-FFF2-40B4-BE49-F238E27FC236}">
              <a16:creationId xmlns:a16="http://schemas.microsoft.com/office/drawing/2014/main" id="{00000000-0008-0000-0400-00000E000000}"/>
            </a:ext>
          </a:extLst>
        </xdr:cNvPr>
        <xdr:cNvSpPr txBox="1">
          <a:spLocks noChangeArrowheads="1"/>
        </xdr:cNvSpPr>
      </xdr:nvSpPr>
      <xdr:spPr bwMode="auto">
        <a:xfrm>
          <a:off x="8943975" y="5676900"/>
          <a:ext cx="16192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47</xdr:col>
      <xdr:colOff>123825</xdr:colOff>
      <xdr:row>39</xdr:row>
      <xdr:rowOff>0</xdr:rowOff>
    </xdr:from>
    <xdr:to>
      <xdr:col>48</xdr:col>
      <xdr:colOff>304800</xdr:colOff>
      <xdr:row>41</xdr:row>
      <xdr:rowOff>0</xdr:rowOff>
    </xdr:to>
    <xdr:sp macro="" textlink="">
      <xdr:nvSpPr>
        <xdr:cNvPr id="15" name="Text Box 11">
          <a:extLst>
            <a:ext uri="{FF2B5EF4-FFF2-40B4-BE49-F238E27FC236}">
              <a16:creationId xmlns:a16="http://schemas.microsoft.com/office/drawing/2014/main" id="{00000000-0008-0000-0400-00000F000000}"/>
            </a:ext>
          </a:extLst>
        </xdr:cNvPr>
        <xdr:cNvSpPr txBox="1">
          <a:spLocks noChangeArrowheads="1"/>
        </xdr:cNvSpPr>
      </xdr:nvSpPr>
      <xdr:spPr bwMode="auto">
        <a:xfrm>
          <a:off x="8315325" y="5819775"/>
          <a:ext cx="1809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52</xdr:col>
      <xdr:colOff>295275</xdr:colOff>
      <xdr:row>39</xdr:row>
      <xdr:rowOff>47625</xdr:rowOff>
    </xdr:from>
    <xdr:to>
      <xdr:col>53</xdr:col>
      <xdr:colOff>476250</xdr:colOff>
      <xdr:row>41</xdr:row>
      <xdr:rowOff>28575</xdr:rowOff>
    </xdr:to>
    <xdr:sp macro="" textlink="">
      <xdr:nvSpPr>
        <xdr:cNvPr id="16" name="Text Box 17">
          <a:extLst>
            <a:ext uri="{FF2B5EF4-FFF2-40B4-BE49-F238E27FC236}">
              <a16:creationId xmlns:a16="http://schemas.microsoft.com/office/drawing/2014/main" id="{00000000-0008-0000-0400-000010000000}"/>
            </a:ext>
          </a:extLst>
        </xdr:cNvPr>
        <xdr:cNvSpPr txBox="1">
          <a:spLocks noChangeArrowheads="1"/>
        </xdr:cNvSpPr>
      </xdr:nvSpPr>
      <xdr:spPr bwMode="auto">
        <a:xfrm>
          <a:off x="9105900" y="5867400"/>
          <a:ext cx="1524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50</xdr:col>
      <xdr:colOff>9525</xdr:colOff>
      <xdr:row>40</xdr:row>
      <xdr:rowOff>0</xdr:rowOff>
    </xdr:from>
    <xdr:to>
      <xdr:col>51</xdr:col>
      <xdr:colOff>190500</xdr:colOff>
      <xdr:row>41</xdr:row>
      <xdr:rowOff>114300</xdr:rowOff>
    </xdr:to>
    <xdr:sp macro="" textlink="">
      <xdr:nvSpPr>
        <xdr:cNvPr id="17" name="Text Box 22">
          <a:extLst>
            <a:ext uri="{FF2B5EF4-FFF2-40B4-BE49-F238E27FC236}">
              <a16:creationId xmlns:a16="http://schemas.microsoft.com/office/drawing/2014/main" id="{00000000-0008-0000-0400-000011000000}"/>
            </a:ext>
          </a:extLst>
        </xdr:cNvPr>
        <xdr:cNvSpPr txBox="1">
          <a:spLocks noChangeArrowheads="1"/>
        </xdr:cNvSpPr>
      </xdr:nvSpPr>
      <xdr:spPr bwMode="auto">
        <a:xfrm>
          <a:off x="8658225" y="6048375"/>
          <a:ext cx="2952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48</xdr:col>
      <xdr:colOff>523875</xdr:colOff>
      <xdr:row>41</xdr:row>
      <xdr:rowOff>0</xdr:rowOff>
    </xdr:from>
    <xdr:to>
      <xdr:col>49</xdr:col>
      <xdr:colOff>447675</xdr:colOff>
      <xdr:row>44</xdr:row>
      <xdr:rowOff>47625</xdr:rowOff>
    </xdr:to>
    <xdr:sp macro="" textlink="">
      <xdr:nvSpPr>
        <xdr:cNvPr id="18" name="Text Box 14">
          <a:extLst>
            <a:ext uri="{FF2B5EF4-FFF2-40B4-BE49-F238E27FC236}">
              <a16:creationId xmlns:a16="http://schemas.microsoft.com/office/drawing/2014/main" id="{00000000-0008-0000-0400-000012000000}"/>
            </a:ext>
          </a:extLst>
        </xdr:cNvPr>
        <xdr:cNvSpPr txBox="1">
          <a:spLocks noChangeArrowheads="1"/>
        </xdr:cNvSpPr>
      </xdr:nvSpPr>
      <xdr:spPr bwMode="auto">
        <a:xfrm>
          <a:off x="8496300" y="6276975"/>
          <a:ext cx="1524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50</xdr:col>
      <xdr:colOff>523875</xdr:colOff>
      <xdr:row>41</xdr:row>
      <xdr:rowOff>66675</xdr:rowOff>
    </xdr:from>
    <xdr:to>
      <xdr:col>52</xdr:col>
      <xdr:colOff>95250</xdr:colOff>
      <xdr:row>47</xdr:row>
      <xdr:rowOff>47625</xdr:rowOff>
    </xdr:to>
    <xdr:sp macro="" textlink="">
      <xdr:nvSpPr>
        <xdr:cNvPr id="19" name="Text Box 107">
          <a:extLst>
            <a:ext uri="{FF2B5EF4-FFF2-40B4-BE49-F238E27FC236}">
              <a16:creationId xmlns:a16="http://schemas.microsoft.com/office/drawing/2014/main" id="{00000000-0008-0000-0400-000013000000}"/>
            </a:ext>
          </a:extLst>
        </xdr:cNvPr>
        <xdr:cNvSpPr txBox="1">
          <a:spLocks noChangeArrowheads="1"/>
        </xdr:cNvSpPr>
      </xdr:nvSpPr>
      <xdr:spPr bwMode="auto">
        <a:xfrm>
          <a:off x="8801100" y="6343650"/>
          <a:ext cx="247650"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23</xdr:col>
      <xdr:colOff>0</xdr:colOff>
      <xdr:row>25</xdr:row>
      <xdr:rowOff>0</xdr:rowOff>
    </xdr:from>
    <xdr:to>
      <xdr:col>24</xdr:col>
      <xdr:colOff>95250</xdr:colOff>
      <xdr:row>28</xdr:row>
      <xdr:rowOff>0</xdr:rowOff>
    </xdr:to>
    <xdr:sp macro="" textlink="">
      <xdr:nvSpPr>
        <xdr:cNvPr id="42" name="Text Box 28">
          <a:extLst>
            <a:ext uri="{FF2B5EF4-FFF2-40B4-BE49-F238E27FC236}">
              <a16:creationId xmlns:a16="http://schemas.microsoft.com/office/drawing/2014/main" id="{00000000-0008-0000-0400-00002A000000}"/>
            </a:ext>
          </a:extLst>
        </xdr:cNvPr>
        <xdr:cNvSpPr txBox="1"/>
      </xdr:nvSpPr>
      <xdr:spPr>
        <a:xfrm>
          <a:off x="3752850" y="3400425"/>
          <a:ext cx="247650" cy="247650"/>
        </a:xfrm>
        <a:prstGeom prst="rect">
          <a:avLst/>
        </a:prstGeom>
        <a:noFill/>
        <a:ln w="6350">
          <a:noFill/>
        </a:ln>
      </xdr:spPr>
      <xdr:txBody>
        <a:bodyPr rot="0" spcFirstLastPara="0" vert="horz" wrap="square" lIns="0" tIns="45720" rIns="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endParaRPr lang="en-US" sz="1100">
            <a:effectLst/>
            <a:latin typeface="Calibri" panose="020F0502020204030204" pitchFamily="34" charset="0"/>
            <a:ea typeface="Calibri" panose="020F0502020204030204" pitchFamily="34" charset="0"/>
            <a:cs typeface="Vrinda" panose="020B0502040204020203" pitchFamily="34" charset="0"/>
          </a:endParaRPr>
        </a:p>
      </xdr:txBody>
    </xdr:sp>
    <xdr:clientData/>
  </xdr:twoCellAnchor>
  <xdr:twoCellAnchor>
    <xdr:from>
      <xdr:col>47</xdr:col>
      <xdr:colOff>123825</xdr:colOff>
      <xdr:row>41</xdr:row>
      <xdr:rowOff>0</xdr:rowOff>
    </xdr:from>
    <xdr:to>
      <xdr:col>48</xdr:col>
      <xdr:colOff>304800</xdr:colOff>
      <xdr:row>43</xdr:row>
      <xdr:rowOff>0</xdr:rowOff>
    </xdr:to>
    <xdr:sp macro="" textlink="">
      <xdr:nvSpPr>
        <xdr:cNvPr id="43" name="Text Box 11">
          <a:extLst>
            <a:ext uri="{FF2B5EF4-FFF2-40B4-BE49-F238E27FC236}">
              <a16:creationId xmlns:a16="http://schemas.microsoft.com/office/drawing/2014/main" id="{00000000-0008-0000-0400-00002B000000}"/>
            </a:ext>
          </a:extLst>
        </xdr:cNvPr>
        <xdr:cNvSpPr txBox="1">
          <a:spLocks noChangeArrowheads="1"/>
        </xdr:cNvSpPr>
      </xdr:nvSpPr>
      <xdr:spPr bwMode="auto">
        <a:xfrm>
          <a:off x="8315325" y="6276975"/>
          <a:ext cx="1809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47</xdr:col>
      <xdr:colOff>123825</xdr:colOff>
      <xdr:row>44</xdr:row>
      <xdr:rowOff>0</xdr:rowOff>
    </xdr:from>
    <xdr:to>
      <xdr:col>48</xdr:col>
      <xdr:colOff>304800</xdr:colOff>
      <xdr:row>47</xdr:row>
      <xdr:rowOff>0</xdr:rowOff>
    </xdr:to>
    <xdr:sp macro="" textlink="">
      <xdr:nvSpPr>
        <xdr:cNvPr id="44" name="Text Box 11">
          <a:extLst>
            <a:ext uri="{FF2B5EF4-FFF2-40B4-BE49-F238E27FC236}">
              <a16:creationId xmlns:a16="http://schemas.microsoft.com/office/drawing/2014/main" id="{00000000-0008-0000-0400-00002C000000}"/>
            </a:ext>
          </a:extLst>
        </xdr:cNvPr>
        <xdr:cNvSpPr txBox="1">
          <a:spLocks noChangeArrowheads="1"/>
        </xdr:cNvSpPr>
      </xdr:nvSpPr>
      <xdr:spPr bwMode="auto">
        <a:xfrm>
          <a:off x="8315325" y="6734175"/>
          <a:ext cx="1809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47</xdr:col>
      <xdr:colOff>123825</xdr:colOff>
      <xdr:row>33</xdr:row>
      <xdr:rowOff>0</xdr:rowOff>
    </xdr:from>
    <xdr:to>
      <xdr:col>48</xdr:col>
      <xdr:colOff>304800</xdr:colOff>
      <xdr:row>36</xdr:row>
      <xdr:rowOff>0</xdr:rowOff>
    </xdr:to>
    <xdr:sp macro="" textlink="">
      <xdr:nvSpPr>
        <xdr:cNvPr id="45" name="Text Box 11">
          <a:extLst>
            <a:ext uri="{FF2B5EF4-FFF2-40B4-BE49-F238E27FC236}">
              <a16:creationId xmlns:a16="http://schemas.microsoft.com/office/drawing/2014/main" id="{00000000-0008-0000-0400-00002D000000}"/>
            </a:ext>
          </a:extLst>
        </xdr:cNvPr>
        <xdr:cNvSpPr txBox="1">
          <a:spLocks noChangeArrowheads="1"/>
        </xdr:cNvSpPr>
      </xdr:nvSpPr>
      <xdr:spPr bwMode="auto">
        <a:xfrm>
          <a:off x="8315325" y="4676775"/>
          <a:ext cx="1809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a:solidFill>
                <a:srgbClr val="000000"/>
              </a:solidFill>
              <a:miter lim="800000"/>
              <a:headEnd/>
              <a:tailEnd/>
            </a14:hiddenLine>
          </a:ext>
        </a:extLst>
      </xdr:spPr>
    </xdr:sp>
    <xdr:clientData/>
  </xdr:twoCellAnchor>
  <xdr:twoCellAnchor>
    <xdr:from>
      <xdr:col>23</xdr:col>
      <xdr:colOff>0</xdr:colOff>
      <xdr:row>29</xdr:row>
      <xdr:rowOff>0</xdr:rowOff>
    </xdr:from>
    <xdr:to>
      <xdr:col>24</xdr:col>
      <xdr:colOff>95250</xdr:colOff>
      <xdr:row>31</xdr:row>
      <xdr:rowOff>0</xdr:rowOff>
    </xdr:to>
    <xdr:sp macro="" textlink="">
      <xdr:nvSpPr>
        <xdr:cNvPr id="24" name="Text Box 28">
          <a:extLst>
            <a:ext uri="{FF2B5EF4-FFF2-40B4-BE49-F238E27FC236}">
              <a16:creationId xmlns:a16="http://schemas.microsoft.com/office/drawing/2014/main" id="{00000000-0008-0000-0400-000018000000}"/>
            </a:ext>
          </a:extLst>
        </xdr:cNvPr>
        <xdr:cNvSpPr txBox="1"/>
      </xdr:nvSpPr>
      <xdr:spPr>
        <a:xfrm>
          <a:off x="3781425" y="3790950"/>
          <a:ext cx="247650" cy="381000"/>
        </a:xfrm>
        <a:prstGeom prst="rect">
          <a:avLst/>
        </a:prstGeom>
        <a:noFill/>
        <a:ln w="6350">
          <a:noFill/>
        </a:ln>
      </xdr:spPr>
      <xdr:txBody>
        <a:bodyPr rot="0" spcFirstLastPara="0" vert="horz" wrap="square" lIns="0" tIns="45720" rIns="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endParaRPr lang="en-US" sz="1100">
            <a:effectLst/>
            <a:latin typeface="Calibri" panose="020F0502020204030204" pitchFamily="34" charset="0"/>
            <a:ea typeface="Calibri" panose="020F0502020204030204" pitchFamily="34" charset="0"/>
            <a:cs typeface="Vrinda" panose="020B0502040204020203" pitchFamily="34" charset="0"/>
          </a:endParaRPr>
        </a:p>
      </xdr:txBody>
    </xdr:sp>
    <xdr:clientData/>
  </xdr:twoCellAnchor>
  <xdr:twoCellAnchor>
    <xdr:from>
      <xdr:col>23</xdr:col>
      <xdr:colOff>0</xdr:colOff>
      <xdr:row>37</xdr:row>
      <xdr:rowOff>0</xdr:rowOff>
    </xdr:from>
    <xdr:to>
      <xdr:col>24</xdr:col>
      <xdr:colOff>95250</xdr:colOff>
      <xdr:row>39</xdr:row>
      <xdr:rowOff>0</xdr:rowOff>
    </xdr:to>
    <xdr:sp macro="" textlink="">
      <xdr:nvSpPr>
        <xdr:cNvPr id="25" name="Text Box 28">
          <a:extLst>
            <a:ext uri="{FF2B5EF4-FFF2-40B4-BE49-F238E27FC236}">
              <a16:creationId xmlns:a16="http://schemas.microsoft.com/office/drawing/2014/main" id="{00000000-0008-0000-0400-000019000000}"/>
            </a:ext>
          </a:extLst>
        </xdr:cNvPr>
        <xdr:cNvSpPr txBox="1"/>
      </xdr:nvSpPr>
      <xdr:spPr>
        <a:xfrm>
          <a:off x="3781425" y="3790950"/>
          <a:ext cx="247650" cy="381000"/>
        </a:xfrm>
        <a:prstGeom prst="rect">
          <a:avLst/>
        </a:prstGeom>
        <a:noFill/>
        <a:ln w="6350">
          <a:noFill/>
        </a:ln>
      </xdr:spPr>
      <xdr:txBody>
        <a:bodyPr rot="0" spcFirstLastPara="0" vert="horz" wrap="square" lIns="0" tIns="45720" rIns="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endParaRPr lang="en-US" sz="1100">
            <a:effectLst/>
            <a:latin typeface="Calibri" panose="020F0502020204030204" pitchFamily="34" charset="0"/>
            <a:ea typeface="Calibri" panose="020F0502020204030204" pitchFamily="34" charset="0"/>
            <a:cs typeface="Vrinda" panose="020B0502040204020203"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ian%20Kessler/Desktop/tempCMR/2020_CMR20_IDI_UPS_Q1_v34-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
      <sheetName val="GEN"/>
      <sheetName val="Data"/>
      <sheetName val="REF"/>
      <sheetName val="QST"/>
      <sheetName val="e"/>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BI117"/>
  <sheetViews>
    <sheetView showGridLines="0" workbookViewId="0">
      <selection activeCell="AF1" sqref="AF1:AX1"/>
    </sheetView>
  </sheetViews>
  <sheetFormatPr baseColWidth="10" defaultColWidth="9.140625" defaultRowHeight="15"/>
  <cols>
    <col min="1" max="1" width="6" customWidth="1"/>
    <col min="2" max="60" width="2.28515625" customWidth="1"/>
  </cols>
  <sheetData>
    <row r="1" spans="1:61">
      <c r="B1" s="395" t="s">
        <v>1646</v>
      </c>
      <c r="C1" s="396"/>
      <c r="D1" s="396"/>
      <c r="E1" s="396"/>
      <c r="F1" s="396"/>
      <c r="G1" s="396"/>
      <c r="H1" s="396"/>
      <c r="I1" s="396"/>
      <c r="J1" s="397"/>
      <c r="T1" s="405" t="str">
        <f>HLOOKUP($B$1,e!$A$1:$Z$243,S3,FALSE)&amp;" &gt;"</f>
        <v>fila &gt;</v>
      </c>
      <c r="U1" s="406"/>
      <c r="V1" s="406"/>
      <c r="W1" s="407"/>
      <c r="X1" s="398" t="e">
        <f>MATCH(AF1,Data!A12:A958,0)+11</f>
        <v>#N/A</v>
      </c>
      <c r="Y1" s="398"/>
      <c r="Z1" s="398"/>
      <c r="AA1" s="398" t="str">
        <f>HLOOKUP($B$1,e!$A$1:$Z$243,Y3,FALSE)&amp;" &gt;"</f>
        <v>Seleccione &gt;</v>
      </c>
      <c r="AB1" s="398"/>
      <c r="AC1" s="398"/>
      <c r="AD1" s="398"/>
      <c r="AE1" s="398"/>
      <c r="AF1" s="399" t="s">
        <v>3276</v>
      </c>
      <c r="AG1" s="400"/>
      <c r="AH1" s="400"/>
      <c r="AI1" s="400"/>
      <c r="AJ1" s="400"/>
      <c r="AK1" s="400"/>
      <c r="AL1" s="400"/>
      <c r="AM1" s="400"/>
      <c r="AN1" s="400"/>
      <c r="AO1" s="400"/>
      <c r="AP1" s="400"/>
      <c r="AQ1" s="400"/>
      <c r="AR1" s="400"/>
      <c r="AS1" s="400"/>
      <c r="AT1" s="400"/>
      <c r="AU1" s="400"/>
      <c r="AV1" s="400"/>
      <c r="AW1" s="400"/>
      <c r="AX1" s="401"/>
    </row>
    <row r="2" spans="1:61">
      <c r="A2" s="235"/>
      <c r="B2" s="236"/>
      <c r="C2" s="236"/>
      <c r="D2" s="236"/>
      <c r="E2" s="236"/>
      <c r="F2" s="236"/>
      <c r="G2" s="236"/>
      <c r="H2" s="236"/>
      <c r="I2" s="236"/>
      <c r="J2" s="236"/>
      <c r="K2" s="235"/>
      <c r="L2" s="235"/>
      <c r="M2" s="235"/>
      <c r="N2" s="235"/>
      <c r="O2" s="235"/>
      <c r="P2" s="235"/>
      <c r="Q2" s="235"/>
      <c r="R2" s="235"/>
      <c r="S2" s="237"/>
      <c r="T2" s="237"/>
      <c r="U2" s="237"/>
      <c r="V2" s="238"/>
      <c r="W2" s="238"/>
      <c r="X2" s="238"/>
      <c r="Y2" s="239"/>
      <c r="Z2" s="239"/>
      <c r="AA2" s="239"/>
      <c r="AB2" s="239"/>
      <c r="AC2" s="239"/>
      <c r="AD2" s="240"/>
      <c r="AE2" s="240"/>
      <c r="AF2" s="402" t="str">
        <f>B48&amp;"-"&amp;B45&amp;"-"&amp;TEXT(T45,"[$-00409]dd-Mmm-yy")</f>
        <v>--</v>
      </c>
      <c r="AG2" s="403"/>
      <c r="AH2" s="403"/>
      <c r="AI2" s="403"/>
      <c r="AJ2" s="403"/>
      <c r="AK2" s="403"/>
      <c r="AL2" s="403"/>
      <c r="AM2" s="403"/>
      <c r="AN2" s="403"/>
      <c r="AO2" s="403"/>
      <c r="AP2" s="403"/>
      <c r="AQ2" s="403"/>
      <c r="AR2" s="403"/>
      <c r="AS2" s="403"/>
      <c r="AT2" s="403"/>
      <c r="AU2" s="403"/>
      <c r="AV2" s="403"/>
      <c r="AW2" s="403"/>
      <c r="AX2" s="404"/>
      <c r="AY2" s="235"/>
      <c r="AZ2" s="235"/>
      <c r="BA2" s="235"/>
      <c r="BB2" s="235"/>
      <c r="BC2" s="235"/>
      <c r="BD2" s="235"/>
      <c r="BE2" s="235"/>
      <c r="BF2" s="235"/>
      <c r="BG2" s="235"/>
      <c r="BH2" s="235"/>
      <c r="BI2" s="235"/>
    </row>
    <row r="3" spans="1:61" ht="23.25" customHeight="1">
      <c r="A3" s="18"/>
      <c r="B3" s="241"/>
      <c r="C3" s="241"/>
      <c r="D3" s="241"/>
      <c r="E3" s="241"/>
      <c r="F3" s="241"/>
      <c r="G3" s="241"/>
      <c r="H3" s="241"/>
      <c r="I3" s="241"/>
      <c r="J3" s="241"/>
      <c r="K3" s="241"/>
      <c r="L3" s="241"/>
      <c r="M3" s="241"/>
      <c r="N3" s="241"/>
      <c r="O3" s="241"/>
      <c r="P3" s="241"/>
      <c r="Q3" s="241"/>
      <c r="R3" s="241"/>
      <c r="S3" s="242">
        <v>196</v>
      </c>
      <c r="T3" s="242"/>
      <c r="U3" s="242"/>
      <c r="V3" s="242"/>
      <c r="W3" s="242"/>
      <c r="X3" s="242"/>
      <c r="Y3" s="242">
        <v>197</v>
      </c>
      <c r="Z3" s="242"/>
      <c r="AA3" s="242"/>
      <c r="AB3" s="242"/>
      <c r="AC3" s="242"/>
      <c r="AD3" s="241"/>
      <c r="AE3" s="241"/>
      <c r="AF3" s="241"/>
      <c r="AG3" s="241"/>
      <c r="AH3" s="241"/>
      <c r="AI3" s="241"/>
      <c r="AJ3" s="241"/>
      <c r="AK3" s="241"/>
      <c r="AL3" s="241"/>
      <c r="AM3" s="241"/>
      <c r="AN3" s="241"/>
      <c r="AO3" s="241"/>
      <c r="AP3" s="241"/>
      <c r="AQ3" s="241"/>
      <c r="AR3" s="241"/>
      <c r="AS3" s="241"/>
      <c r="AT3" s="241"/>
      <c r="AU3" s="241"/>
      <c r="AV3" s="241"/>
      <c r="AW3" s="241"/>
      <c r="AX3" s="241"/>
      <c r="AY3" s="241"/>
      <c r="AZ3" s="241"/>
      <c r="BA3" s="241"/>
      <c r="BB3" s="241"/>
      <c r="BC3" s="241"/>
      <c r="BD3" s="241"/>
      <c r="BE3" s="241"/>
      <c r="BF3" s="241"/>
      <c r="BG3" s="241"/>
      <c r="BH3" s="241"/>
      <c r="BI3" s="19"/>
    </row>
    <row r="4" spans="1:61" ht="15" customHeight="1">
      <c r="A4" s="23"/>
      <c r="B4" s="243" t="str">
        <f>HLOOKUP($B$1,e!$A$1:$AB$55,B5,FALSE)</f>
        <v>Herramienta para el Entrenamiento del Mapeo Generacional</v>
      </c>
      <c r="C4" s="1"/>
      <c r="D4" s="1"/>
      <c r="E4" s="1"/>
      <c r="F4" s="1"/>
      <c r="G4" s="1"/>
      <c r="H4" s="1"/>
      <c r="I4" s="1"/>
      <c r="J4" s="1"/>
      <c r="K4" s="1"/>
      <c r="L4" s="1"/>
      <c r="M4" s="1"/>
      <c r="N4" s="1"/>
      <c r="O4" s="1"/>
      <c r="P4" s="1"/>
      <c r="Q4" s="1"/>
      <c r="R4" s="1"/>
      <c r="S4" s="1"/>
      <c r="T4" s="1"/>
      <c r="U4" s="1"/>
      <c r="V4" s="1"/>
      <c r="W4" s="1"/>
      <c r="X4" s="1"/>
      <c r="Y4" s="1"/>
      <c r="Z4" s="1"/>
      <c r="AA4" s="76"/>
      <c r="AB4" s="76"/>
      <c r="AC4" s="78" t="str">
        <f>"v "&amp;e!A50</f>
        <v>v 35</v>
      </c>
      <c r="AD4" s="244"/>
      <c r="AE4" s="245"/>
      <c r="AF4" s="16"/>
      <c r="AG4" s="15"/>
      <c r="AH4" s="246"/>
      <c r="AI4" s="15"/>
      <c r="AJ4" s="15"/>
      <c r="AK4" s="15"/>
      <c r="AL4" s="15"/>
      <c r="AM4" s="15"/>
      <c r="AN4" s="15"/>
      <c r="AO4" s="15"/>
      <c r="AP4" s="15"/>
      <c r="AQ4" s="15"/>
      <c r="AR4" s="15"/>
      <c r="AS4" s="15"/>
      <c r="AT4" s="15"/>
      <c r="AU4" s="15"/>
      <c r="AV4" s="15"/>
      <c r="AW4" s="15"/>
      <c r="AX4" s="15"/>
      <c r="AY4" s="15"/>
      <c r="AZ4" s="15"/>
      <c r="BA4" s="15"/>
      <c r="BB4" s="15"/>
      <c r="BC4" s="15"/>
      <c r="BD4" s="15"/>
      <c r="BE4" s="15"/>
      <c r="BF4" s="15"/>
      <c r="BG4" s="247"/>
      <c r="BI4" s="20"/>
    </row>
    <row r="5" spans="1:61" ht="9.9499999999999993" customHeight="1">
      <c r="A5" s="23"/>
      <c r="B5" s="17">
        <v>2</v>
      </c>
      <c r="C5" s="16"/>
      <c r="D5" s="16"/>
      <c r="E5" s="16"/>
      <c r="F5" s="16"/>
      <c r="G5" s="16"/>
      <c r="H5" s="16"/>
      <c r="I5" s="16"/>
      <c r="J5" s="16"/>
      <c r="K5" s="16"/>
      <c r="L5" s="16"/>
      <c r="M5" s="16"/>
      <c r="N5" s="16"/>
      <c r="O5" s="16"/>
      <c r="P5" s="16"/>
      <c r="Q5" s="16"/>
      <c r="R5" s="16"/>
      <c r="S5" s="16"/>
      <c r="T5" s="16"/>
      <c r="U5" s="16"/>
      <c r="V5" s="16"/>
      <c r="W5" s="16"/>
      <c r="X5" s="16"/>
      <c r="Y5" s="16"/>
      <c r="Z5" s="16"/>
      <c r="AA5" s="16"/>
      <c r="AB5" s="1"/>
      <c r="AC5" s="16"/>
      <c r="AD5" s="16"/>
      <c r="AE5" s="16"/>
      <c r="AF5" s="16"/>
      <c r="AG5" s="248"/>
      <c r="AH5" s="249"/>
      <c r="AI5" s="12"/>
      <c r="AJ5" s="12"/>
      <c r="AK5" s="12"/>
      <c r="AL5" s="12"/>
      <c r="AM5" s="12"/>
      <c r="AN5" s="12"/>
      <c r="AO5" s="12"/>
      <c r="AP5" s="12"/>
      <c r="AQ5" s="12"/>
      <c r="AR5" s="10"/>
      <c r="AS5" s="10"/>
      <c r="AT5" s="10"/>
      <c r="AU5" s="10"/>
      <c r="AV5" s="10"/>
      <c r="AW5" s="10"/>
      <c r="AX5" s="10"/>
      <c r="AY5" s="10"/>
      <c r="AZ5" s="10"/>
      <c r="BA5" s="12"/>
      <c r="BB5" s="12"/>
      <c r="BC5" s="12"/>
      <c r="BD5" s="12"/>
      <c r="BE5" s="12"/>
      <c r="BF5" s="12"/>
      <c r="BG5" s="12"/>
      <c r="BI5" s="21"/>
    </row>
    <row r="6" spans="1:61" ht="9.9499999999999993" customHeight="1">
      <c r="A6" s="23"/>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5"/>
      <c r="AH6" s="250"/>
      <c r="AI6" s="1"/>
      <c r="AJ6" s="1"/>
      <c r="AK6" s="1"/>
      <c r="AL6" s="1"/>
      <c r="AM6" s="1"/>
      <c r="AN6" s="1"/>
      <c r="AO6" s="1"/>
      <c r="AP6" s="1"/>
      <c r="AQ6" s="1"/>
      <c r="AR6" s="1"/>
      <c r="AS6" s="1"/>
      <c r="AT6" s="1"/>
      <c r="AU6" s="1"/>
      <c r="AV6" s="1"/>
      <c r="AW6" s="1"/>
      <c r="AX6" s="1"/>
      <c r="AY6" s="1"/>
      <c r="AZ6" s="1"/>
      <c r="BA6" s="1"/>
      <c r="BB6" s="1"/>
      <c r="BC6" s="1"/>
      <c r="BD6" s="1"/>
      <c r="BE6" s="1"/>
      <c r="BF6" s="1"/>
      <c r="BG6" s="1"/>
      <c r="BI6" s="20"/>
    </row>
    <row r="7" spans="1:61" ht="9.9499999999999993" customHeight="1">
      <c r="A7" s="23"/>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5"/>
      <c r="AH7" s="251"/>
      <c r="AI7" s="4"/>
      <c r="AJ7" s="4"/>
      <c r="AK7" s="4"/>
      <c r="AL7" s="4"/>
      <c r="AM7" s="4"/>
      <c r="AN7" s="4"/>
      <c r="AO7" s="4"/>
      <c r="AP7" s="4"/>
      <c r="AQ7" s="4"/>
      <c r="AR7" s="4"/>
      <c r="AS7" s="4"/>
      <c r="AT7" s="4"/>
      <c r="AU7" s="4"/>
      <c r="AV7" s="4"/>
      <c r="AW7" s="4"/>
      <c r="AX7" s="4"/>
      <c r="AY7" s="4"/>
      <c r="AZ7" s="4"/>
      <c r="BA7" s="4"/>
      <c r="BB7" s="4"/>
      <c r="BC7" s="4"/>
      <c r="BD7" s="4"/>
      <c r="BE7" s="4"/>
      <c r="BF7" s="4"/>
      <c r="BG7" s="252"/>
      <c r="BI7" s="20"/>
    </row>
    <row r="8" spans="1:61" ht="9.9499999999999993" customHeight="1">
      <c r="A8" s="23"/>
      <c r="B8" s="1"/>
      <c r="C8" s="408"/>
      <c r="D8" s="409"/>
      <c r="E8" s="409"/>
      <c r="F8" s="410"/>
      <c r="G8" s="1"/>
      <c r="H8" s="408"/>
      <c r="I8" s="409"/>
      <c r="J8" s="409"/>
      <c r="K8" s="410"/>
      <c r="L8" s="1"/>
      <c r="M8" s="408"/>
      <c r="N8" s="409"/>
      <c r="O8" s="409"/>
      <c r="P8" s="410"/>
      <c r="Q8" s="1"/>
      <c r="R8" s="408"/>
      <c r="S8" s="409"/>
      <c r="T8" s="409"/>
      <c r="U8" s="410"/>
      <c r="V8" s="1"/>
      <c r="W8" s="408"/>
      <c r="X8" s="409"/>
      <c r="Y8" s="409"/>
      <c r="Z8" s="410"/>
      <c r="AA8" s="1"/>
      <c r="AB8" s="1"/>
      <c r="AC8" s="1"/>
      <c r="AD8" s="1"/>
      <c r="AE8" s="1"/>
      <c r="AF8" s="1"/>
      <c r="AG8" s="15"/>
      <c r="AH8" s="253"/>
      <c r="AI8" s="5"/>
      <c r="AJ8" s="5"/>
      <c r="AK8" s="5"/>
      <c r="AL8" s="5"/>
      <c r="AM8" s="5"/>
      <c r="AN8" s="5"/>
      <c r="AO8" s="5"/>
      <c r="AP8" s="5"/>
      <c r="AQ8" s="5"/>
      <c r="AR8" s="5"/>
      <c r="AS8" s="5"/>
      <c r="AT8" s="5"/>
      <c r="AU8" s="5"/>
      <c r="AV8" s="5"/>
      <c r="AW8" s="5"/>
      <c r="AX8" s="5"/>
      <c r="AY8" s="5"/>
      <c r="AZ8" s="5"/>
      <c r="BA8" s="5"/>
      <c r="BB8" s="5"/>
      <c r="BC8" s="5"/>
      <c r="BD8" s="5"/>
      <c r="BE8" s="5"/>
      <c r="BF8" s="5"/>
      <c r="BG8" s="3"/>
      <c r="BI8" s="20"/>
    </row>
    <row r="9" spans="1:61" ht="9.9499999999999993" customHeight="1">
      <c r="A9" s="23"/>
      <c r="B9" s="1"/>
      <c r="C9" s="411"/>
      <c r="D9" s="412"/>
      <c r="E9" s="412"/>
      <c r="F9" s="413"/>
      <c r="G9" s="1"/>
      <c r="H9" s="411"/>
      <c r="I9" s="412"/>
      <c r="J9" s="412"/>
      <c r="K9" s="413"/>
      <c r="L9" s="1"/>
      <c r="M9" s="411"/>
      <c r="N9" s="412"/>
      <c r="O9" s="412"/>
      <c r="P9" s="413"/>
      <c r="Q9" s="1"/>
      <c r="R9" s="411"/>
      <c r="S9" s="412"/>
      <c r="T9" s="412"/>
      <c r="U9" s="413"/>
      <c r="V9" s="1"/>
      <c r="W9" s="411"/>
      <c r="X9" s="412"/>
      <c r="Y9" s="412"/>
      <c r="Z9" s="413"/>
      <c r="AA9" s="1"/>
      <c r="AB9" s="1"/>
      <c r="AC9" s="1"/>
      <c r="AD9" s="1"/>
      <c r="AE9" s="1"/>
      <c r="AF9" s="1"/>
      <c r="AG9" s="15"/>
      <c r="AH9" s="253"/>
      <c r="AI9" s="5"/>
      <c r="AJ9" s="5"/>
      <c r="AK9" s="5"/>
      <c r="AL9" s="5"/>
      <c r="AM9" s="5"/>
      <c r="AN9" s="5"/>
      <c r="AO9" s="5"/>
      <c r="AP9" s="5"/>
      <c r="AQ9" s="5"/>
      <c r="AR9" s="5"/>
      <c r="AS9" s="5"/>
      <c r="AT9" s="5"/>
      <c r="AU9" s="5"/>
      <c r="AV9" s="5"/>
      <c r="AW9" s="5"/>
      <c r="AX9" s="5"/>
      <c r="AY9" s="5"/>
      <c r="AZ9" s="5"/>
      <c r="BA9" s="5"/>
      <c r="BB9" s="5"/>
      <c r="BC9" s="5"/>
      <c r="BD9" s="5"/>
      <c r="BE9" s="5"/>
      <c r="BF9" s="5"/>
      <c r="BG9" s="3"/>
      <c r="BI9" s="20"/>
    </row>
    <row r="10" spans="1:61" ht="9.9499999999999993" customHeight="1">
      <c r="A10" s="23"/>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5"/>
      <c r="AH10" s="253"/>
      <c r="AI10" s="5"/>
      <c r="AJ10" s="5"/>
      <c r="AK10" s="5"/>
      <c r="AL10" s="5"/>
      <c r="AM10" s="5"/>
      <c r="AN10" s="5"/>
      <c r="AO10" s="5"/>
      <c r="AP10" s="5"/>
      <c r="AQ10" s="5"/>
      <c r="AR10" s="5"/>
      <c r="AS10" s="5"/>
      <c r="AT10" s="5"/>
      <c r="AU10" s="5"/>
      <c r="AV10" s="5"/>
      <c r="AW10" s="5"/>
      <c r="AX10" s="5"/>
      <c r="AY10" s="5"/>
      <c r="AZ10" s="5"/>
      <c r="BA10" s="5"/>
      <c r="BB10" s="5"/>
      <c r="BC10" s="5"/>
      <c r="BD10" s="5"/>
      <c r="BE10" s="5"/>
      <c r="BF10" s="5"/>
      <c r="BG10" s="3"/>
      <c r="BI10" s="20"/>
    </row>
    <row r="11" spans="1:61" ht="9.9499999999999993" customHeight="1">
      <c r="A11" s="23"/>
      <c r="B11" s="1"/>
      <c r="C11" s="41"/>
      <c r="D11" s="367"/>
      <c r="E11" s="368"/>
      <c r="F11" s="368"/>
      <c r="G11" s="369"/>
      <c r="H11" s="41"/>
      <c r="I11" s="367"/>
      <c r="J11" s="368"/>
      <c r="K11" s="368"/>
      <c r="L11" s="369"/>
      <c r="M11" s="41"/>
      <c r="N11" s="367"/>
      <c r="O11" s="368"/>
      <c r="P11" s="368"/>
      <c r="Q11" s="369"/>
      <c r="R11" s="73"/>
      <c r="S11" s="373"/>
      <c r="T11" s="374"/>
      <c r="U11" s="374"/>
      <c r="V11" s="374"/>
      <c r="W11" s="374"/>
      <c r="X11" s="374"/>
      <c r="Y11" s="374"/>
      <c r="Z11" s="374"/>
      <c r="AA11" s="375"/>
      <c r="AB11" s="1"/>
      <c r="AC11" s="41"/>
      <c r="AD11" s="41"/>
      <c r="AE11" s="41"/>
      <c r="AF11" s="1"/>
      <c r="AG11" s="15">
        <v>18</v>
      </c>
      <c r="AH11" s="254" t="str">
        <f>HLOOKUP($B$1,e!$A$1:$AB$55,AG11,FALSE)</f>
        <v>Oración</v>
      </c>
      <c r="AI11" s="7"/>
      <c r="AJ11" s="7"/>
      <c r="AK11" s="7"/>
      <c r="AL11" s="7"/>
      <c r="AM11" s="7"/>
      <c r="AN11" s="7"/>
      <c r="AO11" s="7"/>
      <c r="AP11" s="7"/>
      <c r="AQ11" s="7"/>
      <c r="AR11" s="7"/>
      <c r="AS11" s="7"/>
      <c r="AT11" s="7"/>
      <c r="AU11" s="7"/>
      <c r="AV11" s="7"/>
      <c r="AW11" s="7"/>
      <c r="AX11" s="7"/>
      <c r="AY11" s="7"/>
      <c r="AZ11" s="7"/>
      <c r="BA11" s="7"/>
      <c r="BB11" s="7"/>
      <c r="BC11" s="7"/>
      <c r="BD11" s="7"/>
      <c r="BE11" s="7"/>
      <c r="BF11" s="7"/>
      <c r="BG11" s="255"/>
      <c r="BI11" s="20"/>
    </row>
    <row r="12" spans="1:61" ht="9.9499999999999993" customHeight="1">
      <c r="A12" s="23"/>
      <c r="B12" s="1"/>
      <c r="C12" s="41"/>
      <c r="D12" s="370"/>
      <c r="E12" s="371"/>
      <c r="F12" s="371"/>
      <c r="G12" s="372"/>
      <c r="H12" s="41"/>
      <c r="I12" s="370"/>
      <c r="J12" s="371"/>
      <c r="K12" s="371"/>
      <c r="L12" s="372"/>
      <c r="M12" s="41"/>
      <c r="N12" s="370"/>
      <c r="O12" s="371"/>
      <c r="P12" s="371"/>
      <c r="Q12" s="372"/>
      <c r="R12" s="73"/>
      <c r="S12" s="376"/>
      <c r="T12" s="377"/>
      <c r="U12" s="377"/>
      <c r="V12" s="377"/>
      <c r="W12" s="377"/>
      <c r="X12" s="377"/>
      <c r="Y12" s="377"/>
      <c r="Z12" s="377"/>
      <c r="AA12" s="378"/>
      <c r="AB12" s="1"/>
      <c r="AC12" s="41"/>
      <c r="AD12" s="41"/>
      <c r="AE12" s="41"/>
      <c r="AF12" s="1"/>
      <c r="AG12" s="15"/>
      <c r="AH12" s="251"/>
      <c r="AI12" s="4"/>
      <c r="AJ12" s="4"/>
      <c r="AK12" s="4"/>
      <c r="AL12" s="4"/>
      <c r="AM12" s="4"/>
      <c r="AN12" s="4"/>
      <c r="AO12" s="4"/>
      <c r="AP12" s="4"/>
      <c r="AQ12" s="4"/>
      <c r="AR12" s="4"/>
      <c r="AS12" s="4"/>
      <c r="AT12" s="4"/>
      <c r="AU12" s="4"/>
      <c r="AV12" s="4"/>
      <c r="AW12" s="4"/>
      <c r="AX12" s="4"/>
      <c r="AY12" s="4"/>
      <c r="AZ12" s="4"/>
      <c r="BA12" s="4"/>
      <c r="BB12" s="4"/>
      <c r="BC12" s="4"/>
      <c r="BD12" s="4"/>
      <c r="BE12" s="4"/>
      <c r="BF12" s="4"/>
      <c r="BG12" s="252"/>
      <c r="BI12" s="20"/>
    </row>
    <row r="13" spans="1:61" ht="9.75" customHeight="1">
      <c r="A13" s="23"/>
      <c r="B13" s="1"/>
      <c r="C13" s="17">
        <v>28</v>
      </c>
      <c r="D13" s="75">
        <f>HLOOKUP($B$1,e!$A$1:$AB$55,C13,FALSE)</f>
        <v>1</v>
      </c>
      <c r="E13" s="8"/>
      <c r="F13" s="8"/>
      <c r="G13" s="8"/>
      <c r="H13" s="17">
        <v>29</v>
      </c>
      <c r="I13" s="75">
        <f>HLOOKUP($B$1,e!$A$1:$AB$55,H13,FALSE)</f>
        <v>2</v>
      </c>
      <c r="J13" s="8"/>
      <c r="K13" s="8"/>
      <c r="L13" s="8"/>
      <c r="M13" s="17">
        <v>30</v>
      </c>
      <c r="N13" s="75">
        <f>HLOOKUP($B$1,e!$A$1:$AB$55,M13,FALSE)</f>
        <v>3</v>
      </c>
      <c r="O13" s="8"/>
      <c r="P13" s="8"/>
      <c r="Q13" s="8"/>
      <c r="R13" s="17">
        <v>31</v>
      </c>
      <c r="S13" s="75">
        <f>HLOOKUP($B$1,e!$A$1:$AB$55,R13,FALSE)</f>
        <v>4</v>
      </c>
      <c r="T13" s="8"/>
      <c r="U13" s="8"/>
      <c r="V13" s="8"/>
      <c r="W13" s="1"/>
      <c r="X13" s="1"/>
      <c r="Y13" s="1"/>
      <c r="Z13" s="1"/>
      <c r="AA13" s="1"/>
      <c r="AB13" s="1"/>
      <c r="AC13" s="1"/>
      <c r="AD13" s="1"/>
      <c r="AE13" s="1"/>
      <c r="AF13" s="1"/>
      <c r="AG13" s="15"/>
      <c r="AH13" s="253"/>
      <c r="AI13" s="5"/>
      <c r="AJ13" s="5"/>
      <c r="AK13" s="5"/>
      <c r="AL13" s="5"/>
      <c r="AM13" s="5"/>
      <c r="AN13" s="5"/>
      <c r="AO13" s="5"/>
      <c r="AP13" s="5"/>
      <c r="AQ13" s="5"/>
      <c r="AR13" s="5"/>
      <c r="AS13" s="5"/>
      <c r="AT13" s="5"/>
      <c r="AU13" s="5"/>
      <c r="AV13" s="5"/>
      <c r="AW13" s="5"/>
      <c r="AX13" s="5"/>
      <c r="AY13" s="5"/>
      <c r="AZ13" s="5"/>
      <c r="BA13" s="5"/>
      <c r="BB13" s="5"/>
      <c r="BC13" s="5"/>
      <c r="BD13" s="5"/>
      <c r="BE13" s="5"/>
      <c r="BF13" s="5"/>
      <c r="BG13" s="3"/>
      <c r="BI13" s="20"/>
    </row>
    <row r="14" spans="1:61" ht="9.9499999999999993" customHeight="1">
      <c r="A14" s="23"/>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5"/>
      <c r="AH14" s="253"/>
      <c r="AI14" s="5"/>
      <c r="AJ14" s="5"/>
      <c r="AK14" s="5"/>
      <c r="AL14" s="5"/>
      <c r="AM14" s="5"/>
      <c r="AN14" s="5"/>
      <c r="AO14" s="5"/>
      <c r="AP14" s="5"/>
      <c r="AQ14" s="5"/>
      <c r="AR14" s="5"/>
      <c r="AS14" s="5"/>
      <c r="AT14" s="5"/>
      <c r="AU14" s="5"/>
      <c r="AV14" s="5"/>
      <c r="AW14" s="5"/>
      <c r="AX14" s="5"/>
      <c r="AY14" s="5"/>
      <c r="AZ14" s="5"/>
      <c r="BA14" s="5"/>
      <c r="BB14" s="5"/>
      <c r="BC14" s="5"/>
      <c r="BD14" s="5"/>
      <c r="BE14" s="5"/>
      <c r="BF14" s="5"/>
      <c r="BG14" s="3"/>
      <c r="BI14" s="20"/>
    </row>
    <row r="15" spans="1:61" ht="9.9499999999999993" customHeight="1">
      <c r="A15" s="23"/>
      <c r="B15" s="1"/>
      <c r="C15" s="1"/>
      <c r="D15" s="1"/>
      <c r="E15" s="1"/>
      <c r="F15" s="1"/>
      <c r="G15" s="1"/>
      <c r="H15" s="1"/>
      <c r="I15" s="1"/>
      <c r="J15" s="1"/>
      <c r="K15" s="1"/>
      <c r="L15" s="1"/>
      <c r="M15" s="1"/>
      <c r="N15" s="1"/>
      <c r="O15" s="1"/>
      <c r="P15" s="1"/>
      <c r="Q15" s="1"/>
      <c r="R15" s="1"/>
      <c r="S15" s="391"/>
      <c r="T15" s="392"/>
      <c r="U15" s="1"/>
      <c r="V15" s="1"/>
      <c r="W15" s="1"/>
      <c r="X15" s="1"/>
      <c r="Y15" s="1"/>
      <c r="Z15" s="1"/>
      <c r="AA15" s="1"/>
      <c r="AB15" s="1"/>
      <c r="AC15" s="1"/>
      <c r="AD15" s="1"/>
      <c r="AE15" s="1"/>
      <c r="AF15" s="1"/>
      <c r="AG15" s="15"/>
      <c r="AH15" s="253"/>
      <c r="AI15" s="5"/>
      <c r="AJ15" s="5"/>
      <c r="AK15" s="5"/>
      <c r="AL15" s="5"/>
      <c r="AM15" s="5"/>
      <c r="AN15" s="5"/>
      <c r="AO15" s="5"/>
      <c r="AP15" s="5"/>
      <c r="AQ15" s="5"/>
      <c r="AR15" s="5"/>
      <c r="AS15" s="5"/>
      <c r="AT15" s="5"/>
      <c r="AU15" s="5"/>
      <c r="AV15" s="5"/>
      <c r="AW15" s="5"/>
      <c r="AX15" s="5"/>
      <c r="AY15" s="5"/>
      <c r="AZ15" s="5"/>
      <c r="BA15" s="5"/>
      <c r="BB15" s="5"/>
      <c r="BC15" s="5"/>
      <c r="BD15" s="5"/>
      <c r="BE15" s="5"/>
      <c r="BF15" s="5"/>
      <c r="BG15" s="3"/>
      <c r="BI15" s="20"/>
    </row>
    <row r="16" spans="1:61" ht="9.9499999999999993" customHeight="1">
      <c r="A16" s="23"/>
      <c r="B16" s="1"/>
      <c r="C16" s="1"/>
      <c r="D16" s="1"/>
      <c r="E16" s="1"/>
      <c r="F16" s="1"/>
      <c r="G16" s="1"/>
      <c r="H16" s="1"/>
      <c r="I16" s="1"/>
      <c r="J16" s="1"/>
      <c r="K16" s="1"/>
      <c r="L16" s="1"/>
      <c r="M16" s="1"/>
      <c r="N16" s="1"/>
      <c r="O16" s="1"/>
      <c r="P16" s="1"/>
      <c r="Q16" s="1"/>
      <c r="R16" s="1"/>
      <c r="S16" s="393"/>
      <c r="T16" s="394"/>
      <c r="U16" s="1"/>
      <c r="V16" s="1"/>
      <c r="W16" s="1"/>
      <c r="X16" s="1"/>
      <c r="Y16" s="1"/>
      <c r="Z16" s="1"/>
      <c r="AA16" s="1"/>
      <c r="AB16" s="1"/>
      <c r="AC16" s="1"/>
      <c r="AD16" s="1"/>
      <c r="AE16" s="1"/>
      <c r="AF16" s="1"/>
      <c r="AG16" s="15">
        <v>19</v>
      </c>
      <c r="AH16" s="254" t="str">
        <f>HLOOKUP($B$1,e!$A$1:$AB$55,AG16,FALSE)</f>
        <v>Compañerismo</v>
      </c>
      <c r="AI16" s="7"/>
      <c r="AJ16" s="7"/>
      <c r="AK16" s="7"/>
      <c r="AL16" s="7"/>
      <c r="AM16" s="7"/>
      <c r="AN16" s="7"/>
      <c r="AO16" s="7"/>
      <c r="AP16" s="7"/>
      <c r="AQ16" s="7"/>
      <c r="AR16" s="7"/>
      <c r="AS16" s="7"/>
      <c r="AT16" s="7"/>
      <c r="AU16" s="7"/>
      <c r="AV16" s="7"/>
      <c r="AW16" s="7"/>
      <c r="AX16" s="7"/>
      <c r="AY16" s="7"/>
      <c r="AZ16" s="7"/>
      <c r="BA16" s="7"/>
      <c r="BB16" s="7"/>
      <c r="BC16" s="7"/>
      <c r="BD16" s="7"/>
      <c r="BE16" s="7"/>
      <c r="BF16" s="7"/>
      <c r="BG16" s="255"/>
      <c r="BI16" s="20"/>
    </row>
    <row r="17" spans="1:61" ht="9.9499999999999993" customHeight="1">
      <c r="A17" s="23"/>
      <c r="B17" s="1"/>
      <c r="C17" s="1"/>
      <c r="D17" s="391"/>
      <c r="E17" s="392"/>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5"/>
      <c r="AH17" s="251"/>
      <c r="AI17" s="4"/>
      <c r="AJ17" s="4"/>
      <c r="AK17" s="4"/>
      <c r="AL17" s="4"/>
      <c r="AM17" s="4"/>
      <c r="AN17" s="4"/>
      <c r="AO17" s="4"/>
      <c r="AP17" s="4"/>
      <c r="AQ17" s="4"/>
      <c r="AR17" s="4"/>
      <c r="AS17" s="4"/>
      <c r="AT17" s="4"/>
      <c r="AU17" s="4"/>
      <c r="AV17" s="4"/>
      <c r="AW17" s="4"/>
      <c r="AX17" s="4"/>
      <c r="AY17" s="4"/>
      <c r="AZ17" s="4"/>
      <c r="BA17" s="4"/>
      <c r="BB17" s="4"/>
      <c r="BC17" s="4"/>
      <c r="BD17" s="4"/>
      <c r="BE17" s="4"/>
      <c r="BF17" s="4"/>
      <c r="BG17" s="252"/>
      <c r="BI17" s="20"/>
    </row>
    <row r="18" spans="1:61" ht="9.9499999999999993" customHeight="1">
      <c r="A18" s="23"/>
      <c r="B18" s="1"/>
      <c r="C18" s="1"/>
      <c r="D18" s="393"/>
      <c r="E18" s="394"/>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5"/>
      <c r="AH18" s="253"/>
      <c r="AI18" s="5"/>
      <c r="AJ18" s="5"/>
      <c r="AK18" s="5"/>
      <c r="AL18" s="5"/>
      <c r="AM18" s="5"/>
      <c r="AN18" s="5"/>
      <c r="AO18" s="5"/>
      <c r="AP18" s="5"/>
      <c r="AQ18" s="5"/>
      <c r="AR18" s="5"/>
      <c r="AS18" s="5"/>
      <c r="AT18" s="5"/>
      <c r="AU18" s="5"/>
      <c r="AV18" s="5"/>
      <c r="AW18" s="5"/>
      <c r="AX18" s="5"/>
      <c r="AY18" s="5"/>
      <c r="AZ18" s="5"/>
      <c r="BA18" s="5"/>
      <c r="BB18" s="5"/>
      <c r="BC18" s="5"/>
      <c r="BD18" s="5"/>
      <c r="BE18" s="5"/>
      <c r="BF18" s="5"/>
      <c r="BG18" s="3"/>
      <c r="BI18" s="20"/>
    </row>
    <row r="19" spans="1:61" ht="9.9499999999999993" customHeight="1">
      <c r="A19" s="23"/>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5"/>
      <c r="AH19" s="253"/>
      <c r="AI19" s="5"/>
      <c r="AJ19" s="5"/>
      <c r="AK19" s="5"/>
      <c r="AL19" s="5"/>
      <c r="AM19" s="5"/>
      <c r="AN19" s="5"/>
      <c r="AO19" s="5"/>
      <c r="AP19" s="5"/>
      <c r="AQ19" s="5"/>
      <c r="AR19" s="5"/>
      <c r="AS19" s="5"/>
      <c r="AT19" s="5"/>
      <c r="AU19" s="5"/>
      <c r="AV19" s="5"/>
      <c r="AW19" s="5"/>
      <c r="AX19" s="5"/>
      <c r="AY19" s="5"/>
      <c r="AZ19" s="5"/>
      <c r="BA19" s="5"/>
      <c r="BB19" s="5"/>
      <c r="BC19" s="5"/>
      <c r="BD19" s="5"/>
      <c r="BE19" s="5"/>
      <c r="BF19" s="5"/>
      <c r="BG19" s="3"/>
      <c r="BI19" s="20"/>
    </row>
    <row r="20" spans="1:61" ht="9.9499999999999993" customHeight="1">
      <c r="A20" s="23"/>
      <c r="B20" s="1"/>
      <c r="C20" s="1"/>
      <c r="D20" s="1"/>
      <c r="E20" s="1"/>
      <c r="F20" s="1"/>
      <c r="G20" s="1"/>
      <c r="H20" s="1"/>
      <c r="I20" s="1"/>
      <c r="J20" s="1"/>
      <c r="K20" s="1"/>
      <c r="L20" s="1"/>
      <c r="M20" s="1"/>
      <c r="N20" s="1"/>
      <c r="O20" s="1"/>
      <c r="P20" s="1"/>
      <c r="Q20" s="1"/>
      <c r="R20" s="1"/>
      <c r="S20" s="1"/>
      <c r="T20" s="1"/>
      <c r="U20" s="1"/>
      <c r="V20" s="1"/>
      <c r="W20" s="1"/>
      <c r="X20" s="1"/>
      <c r="Y20" s="1"/>
      <c r="Z20" s="391"/>
      <c r="AA20" s="392"/>
      <c r="AB20" s="1"/>
      <c r="AC20" s="1"/>
      <c r="AD20" s="1"/>
      <c r="AE20" s="1"/>
      <c r="AF20" s="1"/>
      <c r="AG20" s="15"/>
      <c r="AH20" s="253"/>
      <c r="AI20" s="5"/>
      <c r="AJ20" s="5"/>
      <c r="AK20" s="5"/>
      <c r="AL20" s="5"/>
      <c r="AM20" s="5"/>
      <c r="AN20" s="5"/>
      <c r="AO20" s="5"/>
      <c r="AP20" s="5"/>
      <c r="AQ20" s="5"/>
      <c r="AR20" s="5"/>
      <c r="AS20" s="5"/>
      <c r="AT20" s="5"/>
      <c r="AU20" s="5"/>
      <c r="AV20" s="5"/>
      <c r="AW20" s="5"/>
      <c r="AX20" s="5"/>
      <c r="AY20" s="5"/>
      <c r="AZ20" s="5"/>
      <c r="BA20" s="5"/>
      <c r="BB20" s="5"/>
      <c r="BC20" s="5"/>
      <c r="BD20" s="5"/>
      <c r="BE20" s="5"/>
      <c r="BF20" s="5"/>
      <c r="BG20" s="3"/>
      <c r="BI20" s="20"/>
    </row>
    <row r="21" spans="1:61" ht="9.9499999999999993" customHeight="1">
      <c r="A21" s="23"/>
      <c r="B21" s="1"/>
      <c r="C21" s="1"/>
      <c r="D21" s="1"/>
      <c r="E21" s="1"/>
      <c r="F21" s="1"/>
      <c r="G21" s="1"/>
      <c r="H21" s="1"/>
      <c r="I21" s="1"/>
      <c r="J21" s="1"/>
      <c r="K21" s="1"/>
      <c r="L21" s="1"/>
      <c r="M21" s="1"/>
      <c r="N21" s="1"/>
      <c r="O21" s="1"/>
      <c r="P21" s="1"/>
      <c r="Q21" s="1"/>
      <c r="R21" s="1"/>
      <c r="S21" s="1"/>
      <c r="T21" s="1"/>
      <c r="U21" s="1"/>
      <c r="V21" s="1"/>
      <c r="W21" s="1"/>
      <c r="X21" s="1"/>
      <c r="Y21" s="1"/>
      <c r="Z21" s="393"/>
      <c r="AA21" s="394"/>
      <c r="AB21" s="1"/>
      <c r="AC21" s="1"/>
      <c r="AD21" s="1"/>
      <c r="AE21" s="1"/>
      <c r="AF21" s="1"/>
      <c r="AG21" s="15">
        <v>20</v>
      </c>
      <c r="AH21" s="254" t="str">
        <f>HLOOKUP($B$1,e!$A$1:$AB$55,AG21,FALSE)</f>
        <v>Adoración</v>
      </c>
      <c r="AI21" s="7"/>
      <c r="AJ21" s="7"/>
      <c r="AK21" s="7"/>
      <c r="AL21" s="7"/>
      <c r="AM21" s="7"/>
      <c r="AN21" s="7"/>
      <c r="AO21" s="7"/>
      <c r="AP21" s="7"/>
      <c r="AQ21" s="7"/>
      <c r="AR21" s="7"/>
      <c r="AS21" s="7"/>
      <c r="AT21" s="7"/>
      <c r="AU21" s="7"/>
      <c r="AV21" s="7"/>
      <c r="AW21" s="7"/>
      <c r="AX21" s="7"/>
      <c r="AY21" s="7"/>
      <c r="AZ21" s="7"/>
      <c r="BA21" s="7"/>
      <c r="BB21" s="7"/>
      <c r="BC21" s="7"/>
      <c r="BD21" s="7"/>
      <c r="BE21" s="7"/>
      <c r="BF21" s="7"/>
      <c r="BG21" s="255"/>
      <c r="BI21" s="20"/>
    </row>
    <row r="22" spans="1:61" ht="9.9499999999999993" customHeight="1">
      <c r="A22" s="23"/>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5"/>
      <c r="AH22" s="251"/>
      <c r="AI22" s="4"/>
      <c r="AJ22" s="4"/>
      <c r="AK22" s="4"/>
      <c r="AL22" s="4"/>
      <c r="AM22" s="4"/>
      <c r="AN22" s="4"/>
      <c r="AO22" s="4"/>
      <c r="AP22" s="4"/>
      <c r="AQ22" s="4"/>
      <c r="AR22" s="4"/>
      <c r="AS22" s="4"/>
      <c r="AT22" s="4"/>
      <c r="AU22" s="4"/>
      <c r="AV22" s="4"/>
      <c r="AW22" s="4"/>
      <c r="AX22" s="4"/>
      <c r="AY22" s="4"/>
      <c r="AZ22" s="4"/>
      <c r="BA22" s="4"/>
      <c r="BB22" s="4"/>
      <c r="BC22" s="4"/>
      <c r="BD22" s="4"/>
      <c r="BE22" s="4"/>
      <c r="BF22" s="4"/>
      <c r="BG22" s="252"/>
      <c r="BI22" s="20"/>
    </row>
    <row r="23" spans="1:61" ht="9.9499999999999993" customHeight="1">
      <c r="A23" s="23"/>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5"/>
      <c r="AH23" s="253"/>
      <c r="AI23" s="5"/>
      <c r="AJ23" s="5"/>
      <c r="AK23" s="5"/>
      <c r="AL23" s="5"/>
      <c r="AM23" s="5"/>
      <c r="AN23" s="5"/>
      <c r="AO23" s="5"/>
      <c r="AP23" s="5"/>
      <c r="AQ23" s="5"/>
      <c r="AR23" s="5"/>
      <c r="AS23" s="5"/>
      <c r="AT23" s="5"/>
      <c r="AU23" s="5"/>
      <c r="AV23" s="5"/>
      <c r="AW23" s="5"/>
      <c r="AX23" s="5"/>
      <c r="AY23" s="5"/>
      <c r="AZ23" s="5"/>
      <c r="BA23" s="5"/>
      <c r="BB23" s="5"/>
      <c r="BC23" s="5"/>
      <c r="BD23" s="5"/>
      <c r="BE23" s="5"/>
      <c r="BF23" s="5"/>
      <c r="BG23" s="3"/>
      <c r="BI23" s="20"/>
    </row>
    <row r="24" spans="1:61" ht="9.9499999999999993" customHeight="1">
      <c r="A24" s="23"/>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256"/>
      <c r="AH24" s="253"/>
      <c r="AI24" s="5"/>
      <c r="AJ24" s="5"/>
      <c r="AK24" s="5"/>
      <c r="AL24" s="5"/>
      <c r="AM24" s="5"/>
      <c r="AN24" s="5"/>
      <c r="AO24" s="5"/>
      <c r="AP24" s="5"/>
      <c r="AQ24" s="5"/>
      <c r="AR24" s="5"/>
      <c r="AS24" s="5"/>
      <c r="AT24" s="5"/>
      <c r="AU24" s="5"/>
      <c r="AV24" s="5"/>
      <c r="AW24" s="5"/>
      <c r="AX24" s="5"/>
      <c r="AY24" s="5"/>
      <c r="AZ24" s="5"/>
      <c r="BA24" s="5"/>
      <c r="BB24" s="5"/>
      <c r="BC24" s="5"/>
      <c r="BD24" s="5"/>
      <c r="BE24" s="5"/>
      <c r="BF24" s="5"/>
      <c r="BG24" s="3"/>
      <c r="BI24" s="20"/>
    </row>
    <row r="25" spans="1:61" ht="9.9499999999999993" customHeight="1">
      <c r="A25" s="23"/>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5"/>
      <c r="AH25" s="253"/>
      <c r="AI25" s="5"/>
      <c r="AJ25" s="5"/>
      <c r="AK25" s="5"/>
      <c r="AL25" s="5"/>
      <c r="AM25" s="5"/>
      <c r="AN25" s="5"/>
      <c r="AO25" s="5"/>
      <c r="AP25" s="5"/>
      <c r="AQ25" s="5"/>
      <c r="AR25" s="5"/>
      <c r="AS25" s="5"/>
      <c r="AT25" s="5"/>
      <c r="AU25" s="5"/>
      <c r="AV25" s="5"/>
      <c r="AW25" s="5"/>
      <c r="AX25" s="5"/>
      <c r="AY25" s="5"/>
      <c r="AZ25" s="5"/>
      <c r="BA25" s="5"/>
      <c r="BB25" s="5"/>
      <c r="BC25" s="5"/>
      <c r="BD25" s="5"/>
      <c r="BE25" s="5"/>
      <c r="BF25" s="5"/>
      <c r="BG25" s="3"/>
      <c r="BI25" s="20"/>
    </row>
    <row r="26" spans="1:61" ht="9.9499999999999993" customHeight="1">
      <c r="A26" s="23"/>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5">
        <v>21</v>
      </c>
      <c r="AH26" s="254" t="str">
        <f>HLOOKUP($B$1,e!$A$1:$AB$55,AG26,FALSE)</f>
        <v>Aplicar la biblia</v>
      </c>
      <c r="AI26" s="7"/>
      <c r="AJ26" s="7"/>
      <c r="AK26" s="7"/>
      <c r="AL26" s="7"/>
      <c r="AM26" s="7"/>
      <c r="AN26" s="7"/>
      <c r="AO26" s="7"/>
      <c r="AP26" s="7"/>
      <c r="AQ26" s="7"/>
      <c r="AR26" s="7"/>
      <c r="AS26" s="7"/>
      <c r="AT26" s="7"/>
      <c r="AU26" s="7"/>
      <c r="AV26" s="7"/>
      <c r="AW26" s="7"/>
      <c r="AX26" s="7"/>
      <c r="AY26" s="7"/>
      <c r="AZ26" s="7"/>
      <c r="BA26" s="7"/>
      <c r="BB26" s="7"/>
      <c r="BC26" s="7"/>
      <c r="BD26" s="7"/>
      <c r="BE26" s="7"/>
      <c r="BF26" s="7"/>
      <c r="BG26" s="255"/>
      <c r="BI26" s="20"/>
    </row>
    <row r="27" spans="1:61" ht="9.9499999999999993" customHeight="1">
      <c r="A27" s="23"/>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5"/>
      <c r="AH27" s="251"/>
      <c r="AI27" s="4"/>
      <c r="AJ27" s="4"/>
      <c r="AK27" s="4"/>
      <c r="AL27" s="4"/>
      <c r="AM27" s="4"/>
      <c r="AN27" s="4"/>
      <c r="AO27" s="4"/>
      <c r="AP27" s="4"/>
      <c r="AQ27" s="4"/>
      <c r="AR27" s="4"/>
      <c r="AS27" s="4"/>
      <c r="AT27" s="4"/>
      <c r="AU27" s="4"/>
      <c r="AV27" s="4"/>
      <c r="AW27" s="4"/>
      <c r="AX27" s="4"/>
      <c r="AY27" s="4"/>
      <c r="AZ27" s="4"/>
      <c r="BA27" s="4"/>
      <c r="BB27" s="4"/>
      <c r="BC27" s="4"/>
      <c r="BD27" s="4"/>
      <c r="BE27" s="4"/>
      <c r="BF27" s="4"/>
      <c r="BG27" s="252"/>
      <c r="BI27" s="20"/>
    </row>
    <row r="28" spans="1:61" ht="9.9499999999999993" customHeight="1">
      <c r="A28" s="23"/>
      <c r="B28" s="1"/>
      <c r="C28" s="1"/>
      <c r="D28" s="1"/>
      <c r="E28" s="1"/>
      <c r="F28" s="1"/>
      <c r="G28" s="1"/>
      <c r="H28" s="1"/>
      <c r="I28" s="1"/>
      <c r="J28" s="1"/>
      <c r="K28" s="1"/>
      <c r="L28" s="1"/>
      <c r="M28" s="1"/>
      <c r="N28" s="1"/>
      <c r="O28" s="1"/>
      <c r="P28" s="1"/>
      <c r="Q28" s="1"/>
      <c r="R28" s="1"/>
      <c r="S28" s="1"/>
      <c r="T28" s="1"/>
      <c r="U28" s="1"/>
      <c r="V28" s="1"/>
      <c r="W28" s="1"/>
      <c r="X28" s="1"/>
      <c r="Y28" s="1"/>
      <c r="Z28" s="1"/>
      <c r="AA28" s="1"/>
      <c r="AB28" s="391"/>
      <c r="AC28" s="392"/>
      <c r="AD28" s="1"/>
      <c r="AE28" s="1"/>
      <c r="AF28" s="1"/>
      <c r="AG28" s="15"/>
      <c r="AH28" s="253"/>
      <c r="AI28" s="5"/>
      <c r="AJ28" s="5"/>
      <c r="AK28" s="5"/>
      <c r="AL28" s="5"/>
      <c r="AM28" s="5"/>
      <c r="AN28" s="5"/>
      <c r="AO28" s="5"/>
      <c r="AP28" s="5"/>
      <c r="AQ28" s="5"/>
      <c r="AR28" s="5"/>
      <c r="AS28" s="5"/>
      <c r="AT28" s="5"/>
      <c r="AU28" s="5"/>
      <c r="AV28" s="5"/>
      <c r="AW28" s="5"/>
      <c r="AX28" s="5"/>
      <c r="AY28" s="5"/>
      <c r="AZ28" s="5"/>
      <c r="BA28" s="5"/>
      <c r="BB28" s="5"/>
      <c r="BC28" s="5"/>
      <c r="BD28" s="5"/>
      <c r="BE28" s="5"/>
      <c r="BF28" s="5"/>
      <c r="BG28" s="3"/>
      <c r="BI28" s="20"/>
    </row>
    <row r="29" spans="1:61" ht="9.9499999999999993" customHeight="1">
      <c r="A29" s="23"/>
      <c r="B29" s="1"/>
      <c r="C29" s="391"/>
      <c r="D29" s="392"/>
      <c r="E29" s="1"/>
      <c r="F29" s="1"/>
      <c r="G29" s="1"/>
      <c r="H29" s="1"/>
      <c r="I29" s="1"/>
      <c r="J29" s="1"/>
      <c r="K29" s="1"/>
      <c r="L29" s="1"/>
      <c r="M29" s="1"/>
      <c r="N29" s="1"/>
      <c r="O29" s="1"/>
      <c r="P29" s="1"/>
      <c r="Q29" s="1"/>
      <c r="R29" s="1"/>
      <c r="S29" s="1"/>
      <c r="T29" s="1"/>
      <c r="U29" s="1"/>
      <c r="V29" s="1"/>
      <c r="W29" s="1"/>
      <c r="X29" s="1"/>
      <c r="Y29" s="1"/>
      <c r="Z29" s="1"/>
      <c r="AA29" s="1"/>
      <c r="AB29" s="393"/>
      <c r="AC29" s="394"/>
      <c r="AD29" s="1"/>
      <c r="AE29" s="1"/>
      <c r="AF29" s="1"/>
      <c r="AG29" s="15"/>
      <c r="AH29" s="253"/>
      <c r="AI29" s="5"/>
      <c r="AJ29" s="5"/>
      <c r="AK29" s="5"/>
      <c r="AL29" s="5"/>
      <c r="AM29" s="5"/>
      <c r="AN29" s="5"/>
      <c r="AO29" s="5"/>
      <c r="AP29" s="5"/>
      <c r="AQ29" s="5"/>
      <c r="AR29" s="5"/>
      <c r="AS29" s="5"/>
      <c r="AT29" s="5"/>
      <c r="AU29" s="5"/>
      <c r="AV29" s="5"/>
      <c r="AW29" s="5"/>
      <c r="AX29" s="5"/>
      <c r="AY29" s="5"/>
      <c r="AZ29" s="5"/>
      <c r="BA29" s="5"/>
      <c r="BB29" s="5"/>
      <c r="BC29" s="5"/>
      <c r="BD29" s="5"/>
      <c r="BE29" s="5"/>
      <c r="BF29" s="5"/>
      <c r="BG29" s="3"/>
      <c r="BI29" s="20"/>
    </row>
    <row r="30" spans="1:61" ht="9.9499999999999993" customHeight="1">
      <c r="A30" s="23"/>
      <c r="B30" s="1"/>
      <c r="C30" s="393"/>
      <c r="D30" s="394"/>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5"/>
      <c r="AH30" s="253"/>
      <c r="AI30" s="5"/>
      <c r="AJ30" s="5"/>
      <c r="AK30" s="5"/>
      <c r="AL30" s="5"/>
      <c r="AM30" s="5"/>
      <c r="AN30" s="5"/>
      <c r="AO30" s="5"/>
      <c r="AP30" s="5"/>
      <c r="AQ30" s="5"/>
      <c r="AR30" s="5"/>
      <c r="AS30" s="5"/>
      <c r="AT30" s="5"/>
      <c r="AU30" s="5"/>
      <c r="AV30" s="5"/>
      <c r="AW30" s="5"/>
      <c r="AX30" s="5"/>
      <c r="AY30" s="5"/>
      <c r="AZ30" s="5"/>
      <c r="BA30" s="5"/>
      <c r="BB30" s="5"/>
      <c r="BC30" s="5"/>
      <c r="BD30" s="5"/>
      <c r="BE30" s="5"/>
      <c r="BF30" s="5"/>
      <c r="BG30" s="3"/>
      <c r="BI30" s="20"/>
    </row>
    <row r="31" spans="1:61" ht="9.9499999999999993" customHeight="1">
      <c r="A31" s="23"/>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5">
        <v>22</v>
      </c>
      <c r="AH31" s="254" t="str">
        <f>HLOOKUP($B$1,e!$A$1:$AB$55,AG31,FALSE)</f>
        <v>Evangelizar</v>
      </c>
      <c r="AI31" s="7"/>
      <c r="AJ31" s="7"/>
      <c r="AK31" s="7"/>
      <c r="AL31" s="7"/>
      <c r="AM31" s="7"/>
      <c r="AN31" s="7"/>
      <c r="AO31" s="7"/>
      <c r="AP31" s="7"/>
      <c r="AQ31" s="7"/>
      <c r="AR31" s="7"/>
      <c r="AS31" s="7"/>
      <c r="AT31" s="7"/>
      <c r="AU31" s="7"/>
      <c r="AV31" s="7"/>
      <c r="AW31" s="7"/>
      <c r="AX31" s="7"/>
      <c r="AY31" s="7"/>
      <c r="AZ31" s="7"/>
      <c r="BA31" s="7"/>
      <c r="BB31" s="7"/>
      <c r="BC31" s="7"/>
      <c r="BD31" s="7"/>
      <c r="BE31" s="7"/>
      <c r="BF31" s="7"/>
      <c r="BG31" s="255"/>
      <c r="BI31" s="20"/>
    </row>
    <row r="32" spans="1:61" ht="9.9499999999999993" customHeight="1">
      <c r="A32" s="23"/>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5"/>
      <c r="AH32" s="251"/>
      <c r="AI32" s="4"/>
      <c r="AJ32" s="4"/>
      <c r="AK32" s="4"/>
      <c r="AL32" s="4"/>
      <c r="AM32" s="4"/>
      <c r="AN32" s="4"/>
      <c r="AO32" s="4"/>
      <c r="AP32" s="4"/>
      <c r="AQ32" s="4"/>
      <c r="AR32" s="4"/>
      <c r="AS32" s="4"/>
      <c r="AT32" s="4"/>
      <c r="AU32" s="4"/>
      <c r="AV32" s="4"/>
      <c r="AW32" s="4"/>
      <c r="AX32" s="4"/>
      <c r="AY32" s="4"/>
      <c r="AZ32" s="4"/>
      <c r="BA32" s="4"/>
      <c r="BB32" s="4"/>
      <c r="BC32" s="4"/>
      <c r="BD32" s="4"/>
      <c r="BE32" s="4"/>
      <c r="BF32" s="4"/>
      <c r="BG32" s="252"/>
      <c r="BI32" s="20"/>
    </row>
    <row r="33" spans="1:61" ht="9.9499999999999993" customHeight="1">
      <c r="A33" s="23"/>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5"/>
      <c r="AH33" s="253"/>
      <c r="AI33" s="5"/>
      <c r="AJ33" s="5"/>
      <c r="AK33" s="5"/>
      <c r="AL33" s="5"/>
      <c r="AM33" s="5"/>
      <c r="AN33" s="5"/>
      <c r="AO33" s="5"/>
      <c r="AP33" s="5"/>
      <c r="AQ33" s="5"/>
      <c r="AR33" s="5"/>
      <c r="AS33" s="5"/>
      <c r="AT33" s="5"/>
      <c r="AU33" s="5"/>
      <c r="AV33" s="5"/>
      <c r="AW33" s="5"/>
      <c r="AX33" s="5"/>
      <c r="AY33" s="5"/>
      <c r="AZ33" s="5"/>
      <c r="BA33" s="5"/>
      <c r="BB33" s="5"/>
      <c r="BC33" s="5"/>
      <c r="BD33" s="5"/>
      <c r="BE33" s="5"/>
      <c r="BF33" s="5"/>
      <c r="BG33" s="3"/>
      <c r="BI33" s="20"/>
    </row>
    <row r="34" spans="1:61" ht="9.9499999999999993" customHeight="1">
      <c r="A34" s="23"/>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5"/>
      <c r="AH34" s="253"/>
      <c r="AI34" s="5"/>
      <c r="AJ34" s="5"/>
      <c r="AK34" s="5"/>
      <c r="AL34" s="5"/>
      <c r="AM34" s="5"/>
      <c r="AN34" s="5"/>
      <c r="AO34" s="5"/>
      <c r="AP34" s="5"/>
      <c r="AQ34" s="5"/>
      <c r="AR34" s="5"/>
      <c r="AS34" s="5"/>
      <c r="AT34" s="5"/>
      <c r="AU34" s="5"/>
      <c r="AV34" s="5"/>
      <c r="AW34" s="5"/>
      <c r="AX34" s="5"/>
      <c r="AY34" s="5"/>
      <c r="AZ34" s="5"/>
      <c r="BA34" s="5"/>
      <c r="BB34" s="5"/>
      <c r="BC34" s="5"/>
      <c r="BD34" s="5"/>
      <c r="BE34" s="5"/>
      <c r="BF34" s="5"/>
      <c r="BG34" s="3"/>
      <c r="BI34" s="20"/>
    </row>
    <row r="35" spans="1:61" ht="9.9499999999999993" customHeight="1">
      <c r="A35" s="23"/>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5"/>
      <c r="AH35" s="253"/>
      <c r="AI35" s="5"/>
      <c r="AJ35" s="5"/>
      <c r="AK35" s="5"/>
      <c r="AL35" s="5"/>
      <c r="AM35" s="5"/>
      <c r="AN35" s="5"/>
      <c r="AO35" s="5"/>
      <c r="AP35" s="5"/>
      <c r="AQ35" s="5"/>
      <c r="AR35" s="5"/>
      <c r="AS35" s="5"/>
      <c r="AT35" s="5"/>
      <c r="AU35" s="5"/>
      <c r="AV35" s="5"/>
      <c r="AW35" s="5"/>
      <c r="AX35" s="5"/>
      <c r="AY35" s="5"/>
      <c r="AZ35" s="5"/>
      <c r="BA35" s="5"/>
      <c r="BB35" s="5"/>
      <c r="BC35" s="5"/>
      <c r="BD35" s="5"/>
      <c r="BE35" s="5"/>
      <c r="BF35" s="5"/>
      <c r="BG35" s="3"/>
      <c r="BI35" s="20"/>
    </row>
    <row r="36" spans="1:61" ht="9.9499999999999993" customHeight="1">
      <c r="A36" s="23"/>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5">
        <v>23</v>
      </c>
      <c r="AH36" s="254" t="str">
        <f>HLOOKUP($B$1,e!$A$1:$AB$55,AG36,FALSE)</f>
        <v>La Santa Cena</v>
      </c>
      <c r="AI36" s="7"/>
      <c r="AJ36" s="7"/>
      <c r="AK36" s="7"/>
      <c r="AL36" s="7"/>
      <c r="AM36" s="7"/>
      <c r="AN36" s="7"/>
      <c r="AO36" s="7"/>
      <c r="AP36" s="7"/>
      <c r="AQ36" s="7"/>
      <c r="AR36" s="7"/>
      <c r="AS36" s="7"/>
      <c r="AT36" s="7"/>
      <c r="AU36" s="7"/>
      <c r="AV36" s="7"/>
      <c r="AW36" s="7"/>
      <c r="AX36" s="7"/>
      <c r="AY36" s="7"/>
      <c r="AZ36" s="7"/>
      <c r="BA36" s="7"/>
      <c r="BB36" s="7"/>
      <c r="BC36" s="7"/>
      <c r="BD36" s="7"/>
      <c r="BE36" s="7"/>
      <c r="BF36" s="7"/>
      <c r="BG36" s="255"/>
      <c r="BI36" s="20"/>
    </row>
    <row r="37" spans="1:61" ht="9.9499999999999993" customHeight="1">
      <c r="A37" s="23"/>
      <c r="B37" s="1"/>
      <c r="C37" s="1"/>
      <c r="D37" s="1"/>
      <c r="E37" s="1"/>
      <c r="F37" s="1"/>
      <c r="G37" s="1"/>
      <c r="H37" s="1"/>
      <c r="I37" s="1"/>
      <c r="J37" s="1"/>
      <c r="K37" s="1"/>
      <c r="L37" s="1"/>
      <c r="M37" s="1"/>
      <c r="N37" s="1"/>
      <c r="O37" s="1"/>
      <c r="P37" s="1"/>
      <c r="Q37" s="1"/>
      <c r="R37" s="1"/>
      <c r="S37" s="1"/>
      <c r="T37" s="1"/>
      <c r="U37" s="1"/>
      <c r="V37" s="1"/>
      <c r="W37" s="1"/>
      <c r="X37" s="1"/>
      <c r="Y37" s="1"/>
      <c r="Z37" s="391"/>
      <c r="AA37" s="392"/>
      <c r="AB37" s="1"/>
      <c r="AC37" s="1"/>
      <c r="AD37" s="1"/>
      <c r="AE37" s="1"/>
      <c r="AF37" s="1"/>
      <c r="AG37" s="15"/>
      <c r="AH37" s="251"/>
      <c r="AI37" s="4"/>
      <c r="AJ37" s="4"/>
      <c r="AK37" s="4"/>
      <c r="AL37" s="4"/>
      <c r="AM37" s="4"/>
      <c r="AN37" s="4"/>
      <c r="AO37" s="4"/>
      <c r="AP37" s="4"/>
      <c r="AQ37" s="4"/>
      <c r="AR37" s="4"/>
      <c r="AS37" s="4"/>
      <c r="AT37" s="4"/>
      <c r="AU37" s="4"/>
      <c r="AV37" s="4"/>
      <c r="AW37" s="4"/>
      <c r="AX37" s="4"/>
      <c r="AY37" s="4"/>
      <c r="AZ37" s="4"/>
      <c r="BA37" s="4"/>
      <c r="BB37" s="4"/>
      <c r="BC37" s="4"/>
      <c r="BD37" s="4"/>
      <c r="BE37" s="4"/>
      <c r="BF37" s="4"/>
      <c r="BG37" s="252"/>
      <c r="BI37" s="20"/>
    </row>
    <row r="38" spans="1:61" ht="9.9499999999999993" customHeight="1">
      <c r="A38" s="23"/>
      <c r="B38" s="1"/>
      <c r="C38" s="1"/>
      <c r="D38" s="1"/>
      <c r="E38" s="1"/>
      <c r="F38" s="1"/>
      <c r="G38" s="1"/>
      <c r="H38" s="1"/>
      <c r="I38" s="1"/>
      <c r="J38" s="1"/>
      <c r="K38" s="1"/>
      <c r="L38" s="1"/>
      <c r="M38" s="1"/>
      <c r="N38" s="1"/>
      <c r="O38" s="1"/>
      <c r="P38" s="1"/>
      <c r="Q38" s="1"/>
      <c r="R38" s="1"/>
      <c r="S38" s="1"/>
      <c r="T38" s="1"/>
      <c r="U38" s="1"/>
      <c r="V38" s="1"/>
      <c r="W38" s="1"/>
      <c r="X38" s="1"/>
      <c r="Y38" s="1"/>
      <c r="Z38" s="393"/>
      <c r="AA38" s="394"/>
      <c r="AB38" s="1"/>
      <c r="AC38" s="1"/>
      <c r="AD38" s="1"/>
      <c r="AE38" s="1"/>
      <c r="AF38" s="1"/>
      <c r="AG38" s="15"/>
      <c r="AH38" s="253"/>
      <c r="AI38" s="5"/>
      <c r="AJ38" s="5"/>
      <c r="AK38" s="5"/>
      <c r="AL38" s="5"/>
      <c r="AM38" s="5"/>
      <c r="AN38" s="5"/>
      <c r="AO38" s="5"/>
      <c r="AP38" s="5"/>
      <c r="AQ38" s="5"/>
      <c r="AR38" s="5"/>
      <c r="AS38" s="5"/>
      <c r="AT38" s="5"/>
      <c r="AU38" s="5"/>
      <c r="AV38" s="5"/>
      <c r="AW38" s="5"/>
      <c r="AX38" s="5"/>
      <c r="AY38" s="5"/>
      <c r="AZ38" s="5"/>
      <c r="BA38" s="5"/>
      <c r="BB38" s="5"/>
      <c r="BC38" s="5"/>
      <c r="BD38" s="5"/>
      <c r="BE38" s="5"/>
      <c r="BF38" s="5"/>
      <c r="BG38" s="3"/>
      <c r="BI38" s="20"/>
    </row>
    <row r="39" spans="1:61" ht="9.9499999999999993" customHeight="1">
      <c r="A39" s="23"/>
      <c r="B39" s="1"/>
      <c r="C39" s="1"/>
      <c r="D39" s="391"/>
      <c r="E39" s="392"/>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5"/>
      <c r="AH39" s="253"/>
      <c r="AI39" s="5"/>
      <c r="AJ39" s="5"/>
      <c r="AK39" s="5"/>
      <c r="AL39" s="5"/>
      <c r="AM39" s="5"/>
      <c r="AN39" s="5"/>
      <c r="AO39" s="5"/>
      <c r="AP39" s="5"/>
      <c r="AQ39" s="5"/>
      <c r="AR39" s="5"/>
      <c r="AS39" s="5"/>
      <c r="AT39" s="5"/>
      <c r="AU39" s="5"/>
      <c r="AV39" s="5"/>
      <c r="AW39" s="5"/>
      <c r="AX39" s="5"/>
      <c r="AY39" s="5"/>
      <c r="AZ39" s="5"/>
      <c r="BA39" s="5"/>
      <c r="BB39" s="5"/>
      <c r="BC39" s="5"/>
      <c r="BD39" s="5"/>
      <c r="BE39" s="5"/>
      <c r="BF39" s="5"/>
      <c r="BG39" s="3"/>
      <c r="BI39" s="20"/>
    </row>
    <row r="40" spans="1:61" ht="9.9499999999999993" customHeight="1">
      <c r="A40" s="23"/>
      <c r="B40" s="1"/>
      <c r="C40" s="1"/>
      <c r="D40" s="393"/>
      <c r="E40" s="394"/>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5"/>
      <c r="AH40" s="253"/>
      <c r="AI40" s="5"/>
      <c r="AJ40" s="5"/>
      <c r="AK40" s="5"/>
      <c r="AL40" s="5"/>
      <c r="AM40" s="5"/>
      <c r="AN40" s="5"/>
      <c r="AO40" s="5"/>
      <c r="AP40" s="5"/>
      <c r="AQ40" s="5"/>
      <c r="AR40" s="5"/>
      <c r="AS40" s="5"/>
      <c r="AT40" s="5"/>
      <c r="AU40" s="5"/>
      <c r="AV40" s="5"/>
      <c r="AW40" s="5"/>
      <c r="AX40" s="5"/>
      <c r="AY40" s="5"/>
      <c r="AZ40" s="5"/>
      <c r="BA40" s="5"/>
      <c r="BB40" s="5"/>
      <c r="BC40" s="5"/>
      <c r="BD40" s="5"/>
      <c r="BE40" s="5"/>
      <c r="BF40" s="5"/>
      <c r="BG40" s="3"/>
      <c r="BI40" s="20"/>
    </row>
    <row r="41" spans="1:61" ht="9.9499999999999993" customHeight="1">
      <c r="A41" s="23"/>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5">
        <v>24</v>
      </c>
      <c r="AH41" s="254" t="str">
        <f>HLOOKUP($B$1,e!$A$1:$AB$55,AG41,FALSE)</f>
        <v>Dar</v>
      </c>
      <c r="AI41" s="7"/>
      <c r="AJ41" s="7"/>
      <c r="AK41" s="7"/>
      <c r="AL41" s="7"/>
      <c r="AM41" s="7"/>
      <c r="AN41" s="7"/>
      <c r="AO41" s="7"/>
      <c r="AP41" s="7"/>
      <c r="AQ41" s="7"/>
      <c r="AR41" s="7"/>
      <c r="AS41" s="7"/>
      <c r="AT41" s="7"/>
      <c r="AU41" s="7"/>
      <c r="AV41" s="7"/>
      <c r="AW41" s="7"/>
      <c r="AX41" s="7"/>
      <c r="AY41" s="7"/>
      <c r="AZ41" s="7"/>
      <c r="BA41" s="7"/>
      <c r="BB41" s="7"/>
      <c r="BC41" s="7"/>
      <c r="BD41" s="7"/>
      <c r="BE41" s="7"/>
      <c r="BF41" s="7"/>
      <c r="BG41" s="255"/>
      <c r="BI41" s="20"/>
    </row>
    <row r="42" spans="1:61" ht="9.9499999999999993" customHeight="1">
      <c r="A42" s="23"/>
      <c r="B42" s="1"/>
      <c r="C42" s="1"/>
      <c r="D42" s="1"/>
      <c r="E42" s="1"/>
      <c r="F42" s="1"/>
      <c r="G42" s="1"/>
      <c r="H42" s="1"/>
      <c r="I42" s="1"/>
      <c r="J42" s="1"/>
      <c r="K42" s="1"/>
      <c r="L42" s="391"/>
      <c r="M42" s="392"/>
      <c r="N42" s="1"/>
      <c r="O42" s="1"/>
      <c r="P42" s="1"/>
      <c r="Q42" s="1"/>
      <c r="R42" s="1"/>
      <c r="S42" s="391"/>
      <c r="T42" s="392"/>
      <c r="U42" s="1"/>
      <c r="V42" s="1"/>
      <c r="W42" s="1"/>
      <c r="X42" s="1"/>
      <c r="Y42" s="1"/>
      <c r="Z42" s="1"/>
      <c r="AA42" s="1"/>
      <c r="AB42" s="1"/>
      <c r="AC42" s="1"/>
      <c r="AD42" s="1"/>
      <c r="AE42" s="1"/>
      <c r="AF42" s="1"/>
      <c r="AG42" s="15"/>
      <c r="AH42" s="251"/>
      <c r="AI42" s="4"/>
      <c r="AJ42" s="4"/>
      <c r="AK42" s="4"/>
      <c r="AL42" s="4"/>
      <c r="AM42" s="4"/>
      <c r="AN42" s="4"/>
      <c r="AO42" s="4"/>
      <c r="AP42" s="4"/>
      <c r="AQ42" s="4"/>
      <c r="AR42" s="4"/>
      <c r="AS42" s="4"/>
      <c r="AT42" s="4"/>
      <c r="AU42" s="4"/>
      <c r="AV42" s="4"/>
      <c r="AW42" s="4"/>
      <c r="AX42" s="4"/>
      <c r="AY42" s="4"/>
      <c r="AZ42" s="4"/>
      <c r="BA42" s="4"/>
      <c r="BB42" s="4"/>
      <c r="BC42" s="4"/>
      <c r="BD42" s="4"/>
      <c r="BE42" s="4"/>
      <c r="BF42" s="4"/>
      <c r="BG42" s="252"/>
      <c r="BI42" s="20"/>
    </row>
    <row r="43" spans="1:61" ht="9.9499999999999993" customHeight="1">
      <c r="A43" s="23"/>
      <c r="B43" s="1"/>
      <c r="C43" s="1"/>
      <c r="D43" s="1"/>
      <c r="E43" s="1"/>
      <c r="F43" s="1"/>
      <c r="G43" s="1"/>
      <c r="H43" s="1"/>
      <c r="I43" s="1"/>
      <c r="J43" s="1"/>
      <c r="K43" s="1"/>
      <c r="L43" s="393"/>
      <c r="M43" s="394"/>
      <c r="N43" s="1"/>
      <c r="O43" s="1"/>
      <c r="P43" s="1"/>
      <c r="Q43" s="1"/>
      <c r="R43" s="1"/>
      <c r="S43" s="393"/>
      <c r="T43" s="394"/>
      <c r="U43" s="1"/>
      <c r="V43" s="1"/>
      <c r="W43" s="1"/>
      <c r="X43" s="1"/>
      <c r="Y43" s="1"/>
      <c r="Z43" s="1"/>
      <c r="AA43" s="1"/>
      <c r="AB43" s="1"/>
      <c r="AC43" s="1"/>
      <c r="AD43" s="1"/>
      <c r="AE43" s="1"/>
      <c r="AF43" s="1"/>
      <c r="AG43" s="15"/>
      <c r="AH43" s="253"/>
      <c r="AI43" s="5"/>
      <c r="AJ43" s="5"/>
      <c r="AK43" s="5"/>
      <c r="AL43" s="5"/>
      <c r="AM43" s="5"/>
      <c r="AN43" s="5"/>
      <c r="AO43" s="5"/>
      <c r="AP43" s="5"/>
      <c r="AQ43" s="5"/>
      <c r="AR43" s="5"/>
      <c r="AS43" s="5"/>
      <c r="AT43" s="5"/>
      <c r="AU43" s="5"/>
      <c r="AV43" s="5"/>
      <c r="AW43" s="5"/>
      <c r="AX43" s="5"/>
      <c r="AY43" s="5"/>
      <c r="AZ43" s="5"/>
      <c r="BA43" s="5"/>
      <c r="BB43" s="5"/>
      <c r="BC43" s="5"/>
      <c r="BD43" s="5"/>
      <c r="BE43" s="5"/>
      <c r="BF43" s="5"/>
      <c r="BG43" s="3"/>
      <c r="BI43" s="20"/>
    </row>
    <row r="44" spans="1:61" ht="9.9499999999999993" customHeight="1">
      <c r="A44" s="23"/>
      <c r="B44" s="17">
        <v>3</v>
      </c>
      <c r="C44" s="17">
        <v>4</v>
      </c>
      <c r="D44" s="17">
        <v>5</v>
      </c>
      <c r="E44" s="17">
        <v>6</v>
      </c>
      <c r="F44" s="17">
        <v>7</v>
      </c>
      <c r="G44" s="17">
        <v>8</v>
      </c>
      <c r="H44" s="17">
        <v>9</v>
      </c>
      <c r="I44" s="17">
        <v>10</v>
      </c>
      <c r="J44" s="17">
        <v>11</v>
      </c>
      <c r="K44" s="17">
        <v>12</v>
      </c>
      <c r="L44" s="17">
        <v>17</v>
      </c>
      <c r="M44" s="17">
        <v>34</v>
      </c>
      <c r="N44" s="17">
        <v>40</v>
      </c>
      <c r="O44" s="17"/>
      <c r="P44" s="17"/>
      <c r="Q44" s="17"/>
      <c r="R44" s="17"/>
      <c r="S44" s="1"/>
      <c r="T44" s="1"/>
      <c r="U44" s="1"/>
      <c r="V44" s="1"/>
      <c r="W44" s="1"/>
      <c r="X44" s="1"/>
      <c r="Y44" s="1"/>
      <c r="Z44" s="1"/>
      <c r="AA44" s="1"/>
      <c r="AB44" s="1"/>
      <c r="AC44" s="1"/>
      <c r="AD44" s="1"/>
      <c r="AE44" s="1"/>
      <c r="AF44" s="1"/>
      <c r="AG44" s="15"/>
      <c r="AH44" s="253"/>
      <c r="AI44" s="5"/>
      <c r="AJ44" s="5"/>
      <c r="AK44" s="5"/>
      <c r="AL44" s="5"/>
      <c r="AM44" s="5"/>
      <c r="AN44" s="5"/>
      <c r="AO44" s="5"/>
      <c r="AP44" s="5"/>
      <c r="AQ44" s="5"/>
      <c r="AR44" s="5"/>
      <c r="AS44" s="5"/>
      <c r="AT44" s="5"/>
      <c r="AU44" s="5"/>
      <c r="AV44" s="5"/>
      <c r="AW44" s="5"/>
      <c r="AX44" s="5"/>
      <c r="AY44" s="5"/>
      <c r="AZ44" s="5"/>
      <c r="BA44" s="5"/>
      <c r="BB44" s="5"/>
      <c r="BC44" s="5"/>
      <c r="BD44" s="5"/>
      <c r="BE44" s="5"/>
      <c r="BF44" s="5"/>
      <c r="BG44" s="3"/>
      <c r="BI44" s="20"/>
    </row>
    <row r="45" spans="1:61" ht="9.9499999999999993" customHeight="1">
      <c r="A45" s="23"/>
      <c r="B45" s="361" t="str">
        <f>IFERROR(VLOOKUP($AF1,Data!$A:$AZ,4,FALSE),"")</f>
        <v/>
      </c>
      <c r="C45" s="362"/>
      <c r="D45" s="362"/>
      <c r="E45" s="362"/>
      <c r="F45" s="362"/>
      <c r="G45" s="362"/>
      <c r="H45" s="362"/>
      <c r="I45" s="362"/>
      <c r="J45" s="362"/>
      <c r="K45" s="362"/>
      <c r="L45" s="362"/>
      <c r="M45" s="362"/>
      <c r="N45" s="362"/>
      <c r="O45" s="362"/>
      <c r="P45" s="362"/>
      <c r="Q45" s="362"/>
      <c r="R45" s="363"/>
      <c r="S45" s="28"/>
      <c r="T45" s="379" t="str">
        <f>IFERROR(VLOOKUP($AF1,Data!$A:$AZ,5,FALSE),"")</f>
        <v/>
      </c>
      <c r="U45" s="380"/>
      <c r="V45" s="380"/>
      <c r="W45" s="380"/>
      <c r="X45" s="381"/>
      <c r="Y45" s="257"/>
      <c r="Z45" s="385" t="str">
        <f>IFERROR(VLOOKUP($AF1,Data!$A:$AZ,6,FALSE),"")</f>
        <v/>
      </c>
      <c r="AA45" s="386"/>
      <c r="AB45" s="387"/>
      <c r="AC45" s="1"/>
      <c r="AD45" s="1"/>
      <c r="AE45" s="1"/>
      <c r="AF45" s="1"/>
      <c r="AG45" s="15"/>
      <c r="AH45" s="253"/>
      <c r="AI45" s="5"/>
      <c r="AJ45" s="5"/>
      <c r="AK45" s="5"/>
      <c r="AL45" s="5"/>
      <c r="AM45" s="5"/>
      <c r="AN45" s="5"/>
      <c r="AO45" s="5"/>
      <c r="AP45" s="5"/>
      <c r="AQ45" s="5"/>
      <c r="AR45" s="5"/>
      <c r="AS45" s="5"/>
      <c r="AT45" s="5"/>
      <c r="AU45" s="5"/>
      <c r="AV45" s="5"/>
      <c r="AW45" s="5"/>
      <c r="AX45" s="5"/>
      <c r="AY45" s="5"/>
      <c r="AZ45" s="5"/>
      <c r="BA45" s="5"/>
      <c r="BB45" s="5"/>
      <c r="BC45" s="5"/>
      <c r="BD45" s="5"/>
      <c r="BE45" s="5"/>
      <c r="BF45" s="5"/>
      <c r="BG45" s="3"/>
      <c r="BI45" s="20"/>
    </row>
    <row r="46" spans="1:61" ht="9.9499999999999993" customHeight="1">
      <c r="A46" s="23"/>
      <c r="B46" s="364"/>
      <c r="C46" s="365"/>
      <c r="D46" s="365"/>
      <c r="E46" s="365"/>
      <c r="F46" s="365"/>
      <c r="G46" s="365"/>
      <c r="H46" s="365"/>
      <c r="I46" s="365"/>
      <c r="J46" s="365"/>
      <c r="K46" s="365"/>
      <c r="L46" s="365"/>
      <c r="M46" s="365"/>
      <c r="N46" s="365"/>
      <c r="O46" s="365"/>
      <c r="P46" s="365"/>
      <c r="Q46" s="365"/>
      <c r="R46" s="366"/>
      <c r="S46" s="28"/>
      <c r="T46" s="382"/>
      <c r="U46" s="383"/>
      <c r="V46" s="383"/>
      <c r="W46" s="383"/>
      <c r="X46" s="384"/>
      <c r="Y46" s="257"/>
      <c r="Z46" s="388"/>
      <c r="AA46" s="389"/>
      <c r="AB46" s="390"/>
      <c r="AC46" s="1"/>
      <c r="AD46" s="1"/>
      <c r="AE46" s="1"/>
      <c r="AF46" s="1"/>
      <c r="AG46" s="15">
        <v>25</v>
      </c>
      <c r="AH46" s="254" t="str">
        <f>HLOOKUP($B$1,e!$A$1:$AB$55,AG46,FALSE)</f>
        <v>Bautizar</v>
      </c>
      <c r="AI46" s="7"/>
      <c r="AJ46" s="7"/>
      <c r="AK46" s="7"/>
      <c r="AL46" s="7"/>
      <c r="AM46" s="7"/>
      <c r="AN46" s="7"/>
      <c r="AO46" s="7"/>
      <c r="AP46" s="7"/>
      <c r="AQ46" s="7"/>
      <c r="AR46" s="7"/>
      <c r="AS46" s="7"/>
      <c r="AT46" s="7"/>
      <c r="AU46" s="7"/>
      <c r="AV46" s="7"/>
      <c r="AW46" s="7"/>
      <c r="AX46" s="7"/>
      <c r="AY46" s="7"/>
      <c r="AZ46" s="7"/>
      <c r="BA46" s="7"/>
      <c r="BB46" s="7"/>
      <c r="BC46" s="7"/>
      <c r="BD46" s="7"/>
      <c r="BE46" s="7"/>
      <c r="BF46" s="7"/>
      <c r="BG46" s="255"/>
      <c r="BI46" s="20"/>
    </row>
    <row r="47" spans="1:61" ht="9.9499999999999993" customHeight="1">
      <c r="A47" s="23"/>
      <c r="B47" s="28" t="str">
        <f>HLOOKUP($B$1,e!$A$1:$AB$55,B44,FALSE)</f>
        <v>Nombre del grupo / iglesia</v>
      </c>
      <c r="C47" s="33"/>
      <c r="D47" s="28"/>
      <c r="E47" s="28"/>
      <c r="F47" s="28"/>
      <c r="G47" s="28"/>
      <c r="H47" s="28"/>
      <c r="I47" s="28"/>
      <c r="J47" s="28"/>
      <c r="K47" s="28"/>
      <c r="L47" s="28"/>
      <c r="M47" s="28"/>
      <c r="N47" s="33"/>
      <c r="O47" s="33"/>
      <c r="P47" s="28"/>
      <c r="Q47" s="28"/>
      <c r="R47" s="28"/>
      <c r="S47" s="17"/>
      <c r="T47" s="28" t="str">
        <f>HLOOKUP($B$1,e!$A$1:$AB$55,C44,FALSE)</f>
        <v>Fecha de Inicio</v>
      </c>
      <c r="U47" s="28"/>
      <c r="V47" s="33"/>
      <c r="W47" s="33"/>
      <c r="X47" s="28"/>
      <c r="Y47" s="17"/>
      <c r="Z47" s="134" t="str">
        <f>HLOOKUP($B$1,e!$A$1:$AB$55,D44,FALSE)</f>
        <v>Generación</v>
      </c>
      <c r="AA47" s="28"/>
      <c r="AB47" s="28"/>
      <c r="AC47" s="1"/>
      <c r="AD47" s="1"/>
      <c r="AE47" s="1"/>
      <c r="AF47" s="1"/>
      <c r="AG47" s="15"/>
      <c r="AH47" s="251"/>
      <c r="AI47" s="4"/>
      <c r="AJ47" s="4"/>
      <c r="AK47" s="4"/>
      <c r="AL47" s="4"/>
      <c r="AM47" s="4"/>
      <c r="AN47" s="4"/>
      <c r="AO47" s="4"/>
      <c r="AP47" s="4"/>
      <c r="AQ47" s="4"/>
      <c r="AR47" s="4"/>
      <c r="AS47" s="4"/>
      <c r="AT47" s="4"/>
      <c r="AU47" s="4"/>
      <c r="AV47" s="4"/>
      <c r="AW47" s="4"/>
      <c r="AX47" s="4"/>
      <c r="AY47" s="4"/>
      <c r="AZ47" s="4"/>
      <c r="BA47" s="4"/>
      <c r="BB47" s="4"/>
      <c r="BC47" s="4"/>
      <c r="BD47" s="4"/>
      <c r="BE47" s="4"/>
      <c r="BF47" s="4"/>
      <c r="BG47" s="252"/>
      <c r="BI47" s="20"/>
    </row>
    <row r="48" spans="1:61" ht="9.9499999999999993" customHeight="1">
      <c r="A48" s="23"/>
      <c r="B48" s="361" t="str">
        <f>IFERROR(VLOOKUP($AF1,Data!$A:$AZ,3,FALSE),"")</f>
        <v/>
      </c>
      <c r="C48" s="362"/>
      <c r="D48" s="362"/>
      <c r="E48" s="362"/>
      <c r="F48" s="362"/>
      <c r="G48" s="362"/>
      <c r="H48" s="362"/>
      <c r="I48" s="362"/>
      <c r="J48" s="362"/>
      <c r="K48" s="362"/>
      <c r="L48" s="362"/>
      <c r="M48" s="362"/>
      <c r="N48" s="363"/>
      <c r="O48" s="257"/>
      <c r="P48" s="361" t="str">
        <f>IFERROR(VLOOKUP($AF1,Data!$A:$AZ,7,FALSE),"")</f>
        <v/>
      </c>
      <c r="Q48" s="362"/>
      <c r="R48" s="362"/>
      <c r="S48" s="362"/>
      <c r="T48" s="362"/>
      <c r="U48" s="362"/>
      <c r="V48" s="362"/>
      <c r="W48" s="362"/>
      <c r="X48" s="362"/>
      <c r="Y48" s="362"/>
      <c r="Z48" s="362"/>
      <c r="AA48" s="362"/>
      <c r="AB48" s="363"/>
      <c r="AC48" s="1"/>
      <c r="AD48" s="1"/>
      <c r="AE48" s="1"/>
      <c r="AF48" s="1"/>
      <c r="AG48" s="15"/>
      <c r="AH48" s="253"/>
      <c r="AI48" s="5"/>
      <c r="AJ48" s="5"/>
      <c r="AK48" s="5"/>
      <c r="AL48" s="5"/>
      <c r="AM48" s="5"/>
      <c r="AN48" s="5"/>
      <c r="AO48" s="5"/>
      <c r="AP48" s="5"/>
      <c r="AQ48" s="5"/>
      <c r="AR48" s="5"/>
      <c r="AS48" s="5"/>
      <c r="AT48" s="5"/>
      <c r="AU48" s="5"/>
      <c r="AV48" s="5"/>
      <c r="AW48" s="5"/>
      <c r="AX48" s="5"/>
      <c r="AY48" s="5"/>
      <c r="AZ48" s="5"/>
      <c r="BA48" s="5"/>
      <c r="BB48" s="5"/>
      <c r="BC48" s="5"/>
      <c r="BD48" s="5"/>
      <c r="BE48" s="5"/>
      <c r="BF48" s="5"/>
      <c r="BG48" s="3"/>
      <c r="BI48" s="20"/>
    </row>
    <row r="49" spans="1:61" ht="9.9499999999999993" customHeight="1">
      <c r="A49" s="23"/>
      <c r="B49" s="364"/>
      <c r="C49" s="365"/>
      <c r="D49" s="365"/>
      <c r="E49" s="365"/>
      <c r="F49" s="365"/>
      <c r="G49" s="365"/>
      <c r="H49" s="365"/>
      <c r="I49" s="365"/>
      <c r="J49" s="365"/>
      <c r="K49" s="365"/>
      <c r="L49" s="365"/>
      <c r="M49" s="365"/>
      <c r="N49" s="366"/>
      <c r="O49" s="257"/>
      <c r="P49" s="364"/>
      <c r="Q49" s="365"/>
      <c r="R49" s="365"/>
      <c r="S49" s="365"/>
      <c r="T49" s="365"/>
      <c r="U49" s="365"/>
      <c r="V49" s="365"/>
      <c r="W49" s="365"/>
      <c r="X49" s="365"/>
      <c r="Y49" s="365"/>
      <c r="Z49" s="365"/>
      <c r="AA49" s="365"/>
      <c r="AB49" s="366"/>
      <c r="AC49" s="1"/>
      <c r="AD49" s="1"/>
      <c r="AE49" s="1"/>
      <c r="AF49" s="1"/>
      <c r="AG49" s="15"/>
      <c r="AH49" s="253"/>
      <c r="AI49" s="5"/>
      <c r="AJ49" s="5"/>
      <c r="AK49" s="5"/>
      <c r="AL49" s="5"/>
      <c r="AM49" s="5"/>
      <c r="AN49" s="5"/>
      <c r="AO49" s="5"/>
      <c r="AP49" s="5"/>
      <c r="AQ49" s="5"/>
      <c r="AR49" s="5"/>
      <c r="AS49" s="5"/>
      <c r="AT49" s="5"/>
      <c r="AU49" s="5"/>
      <c r="AV49" s="5"/>
      <c r="AW49" s="5"/>
      <c r="AX49" s="5"/>
      <c r="AY49" s="5"/>
      <c r="AZ49" s="5"/>
      <c r="BA49" s="5"/>
      <c r="BB49" s="5"/>
      <c r="BC49" s="5"/>
      <c r="BD49" s="5"/>
      <c r="BE49" s="5"/>
      <c r="BF49" s="5"/>
      <c r="BG49" s="3"/>
      <c r="BI49" s="20"/>
    </row>
    <row r="50" spans="1:61" ht="9.9499999999999993" customHeight="1">
      <c r="A50" s="23"/>
      <c r="B50" s="28" t="str">
        <f>HLOOKUP($B$1,e!$A$1:$AB$55,E44,FALSE)</f>
        <v>Nombre del líder</v>
      </c>
      <c r="C50" s="28"/>
      <c r="D50" s="28"/>
      <c r="E50" s="28"/>
      <c r="F50" s="28"/>
      <c r="G50" s="28"/>
      <c r="H50" s="28"/>
      <c r="I50" s="28"/>
      <c r="J50" s="28"/>
      <c r="K50" s="28"/>
      <c r="L50" s="28"/>
      <c r="M50" s="28"/>
      <c r="N50" s="33"/>
      <c r="O50" s="33"/>
      <c r="P50" s="28" t="str">
        <f>HLOOKUP($B$1,e!$A$1:$AB$55,F44,FALSE)</f>
        <v>Ubicación</v>
      </c>
      <c r="Q50" s="28"/>
      <c r="R50" s="28"/>
      <c r="S50" s="28"/>
      <c r="T50" s="28"/>
      <c r="U50" s="28"/>
      <c r="V50" s="28"/>
      <c r="W50" s="28"/>
      <c r="X50" s="28"/>
      <c r="Y50" s="28"/>
      <c r="Z50" s="28"/>
      <c r="AA50" s="28"/>
      <c r="AB50" s="28"/>
      <c r="AC50" s="1"/>
      <c r="AD50" s="1"/>
      <c r="AE50" s="1"/>
      <c r="AF50" s="1"/>
      <c r="AG50" s="15"/>
      <c r="AH50" s="253"/>
      <c r="AI50" s="5"/>
      <c r="AJ50" s="5"/>
      <c r="AK50" s="5"/>
      <c r="AL50" s="5"/>
      <c r="AM50" s="5"/>
      <c r="AN50" s="5"/>
      <c r="AO50" s="5"/>
      <c r="AP50" s="5"/>
      <c r="AQ50" s="5"/>
      <c r="AR50" s="5"/>
      <c r="AS50" s="5"/>
      <c r="AT50" s="5"/>
      <c r="AU50" s="5"/>
      <c r="AV50" s="5"/>
      <c r="AW50" s="5"/>
      <c r="AX50" s="5"/>
      <c r="AY50" s="5"/>
      <c r="AZ50" s="5"/>
      <c r="BA50" s="5"/>
      <c r="BB50" s="5"/>
      <c r="BC50" s="5"/>
      <c r="BD50" s="5"/>
      <c r="BE50" s="5"/>
      <c r="BF50" s="5"/>
      <c r="BG50" s="3"/>
      <c r="BI50" s="20"/>
    </row>
    <row r="51" spans="1:61" ht="9.9499999999999993" customHeight="1">
      <c r="A51" s="23"/>
      <c r="B51" s="361" t="str">
        <f>IFERROR(VLOOKUP($AF1,Data!$A:$AZ,8,FALSE),"")</f>
        <v/>
      </c>
      <c r="C51" s="362"/>
      <c r="D51" s="362"/>
      <c r="E51" s="362"/>
      <c r="F51" s="362"/>
      <c r="G51" s="362"/>
      <c r="H51" s="362"/>
      <c r="I51" s="362"/>
      <c r="J51" s="362"/>
      <c r="K51" s="362"/>
      <c r="L51" s="362"/>
      <c r="M51" s="362"/>
      <c r="N51" s="363"/>
      <c r="O51" s="257"/>
      <c r="P51" s="361" t="e">
        <f>IF(VLOOKUP($AF1,Data!$A:$AZ,37,FALSE)&lt;&gt;"",VLOOKUP($AF1,Data!$A:$AZ,37,FALSE),Data!D4)</f>
        <v>#N/A</v>
      </c>
      <c r="Q51" s="362"/>
      <c r="R51" s="362"/>
      <c r="S51" s="362"/>
      <c r="T51" s="362"/>
      <c r="U51" s="362"/>
      <c r="V51" s="362"/>
      <c r="W51" s="362"/>
      <c r="X51" s="362"/>
      <c r="Y51" s="362"/>
      <c r="Z51" s="362"/>
      <c r="AA51" s="362"/>
      <c r="AB51" s="363"/>
      <c r="AC51" s="1"/>
      <c r="AD51" s="1"/>
      <c r="AE51" s="1"/>
      <c r="AF51" s="1"/>
      <c r="AG51" s="15">
        <v>26</v>
      </c>
      <c r="AH51" s="254" t="str">
        <f>HLOOKUP($B$1,e!$A$1:$AB$55,AG51,FALSE)</f>
        <v>Trabajadores</v>
      </c>
      <c r="AI51" s="7"/>
      <c r="AJ51" s="7"/>
      <c r="AK51" s="7"/>
      <c r="AL51" s="7"/>
      <c r="AM51" s="7"/>
      <c r="AN51" s="7"/>
      <c r="AO51" s="7"/>
      <c r="AP51" s="7"/>
      <c r="AQ51" s="7"/>
      <c r="AR51" s="7"/>
      <c r="AS51" s="7"/>
      <c r="AT51" s="7"/>
      <c r="AU51" s="7"/>
      <c r="AV51" s="7"/>
      <c r="AW51" s="7"/>
      <c r="AX51" s="7"/>
      <c r="AY51" s="7"/>
      <c r="AZ51" s="7"/>
      <c r="BA51" s="7"/>
      <c r="BB51" s="7"/>
      <c r="BC51" s="7"/>
      <c r="BD51" s="7"/>
      <c r="BE51" s="7"/>
      <c r="BF51" s="7"/>
      <c r="BG51" s="255"/>
      <c r="BI51" s="20"/>
    </row>
    <row r="52" spans="1:61" ht="9.9499999999999993" customHeight="1">
      <c r="A52" s="23"/>
      <c r="B52" s="364"/>
      <c r="C52" s="365"/>
      <c r="D52" s="365"/>
      <c r="E52" s="365"/>
      <c r="F52" s="365"/>
      <c r="G52" s="365"/>
      <c r="H52" s="365"/>
      <c r="I52" s="365"/>
      <c r="J52" s="365"/>
      <c r="K52" s="365"/>
      <c r="L52" s="365"/>
      <c r="M52" s="365"/>
      <c r="N52" s="366"/>
      <c r="O52" s="257"/>
      <c r="P52" s="364"/>
      <c r="Q52" s="365"/>
      <c r="R52" s="365"/>
      <c r="S52" s="365"/>
      <c r="T52" s="365"/>
      <c r="U52" s="365"/>
      <c r="V52" s="365"/>
      <c r="W52" s="365"/>
      <c r="X52" s="365"/>
      <c r="Y52" s="365"/>
      <c r="Z52" s="365"/>
      <c r="AA52" s="365"/>
      <c r="AB52" s="366"/>
      <c r="AC52" s="1"/>
      <c r="AD52" s="1"/>
      <c r="AE52" s="1"/>
      <c r="AF52" s="1"/>
      <c r="AG52" s="15"/>
      <c r="AH52" s="251"/>
      <c r="AI52" s="4"/>
      <c r="AJ52" s="4"/>
      <c r="AK52" s="4"/>
      <c r="AL52" s="4"/>
      <c r="AM52" s="4"/>
      <c r="AN52" s="4"/>
      <c r="AO52" s="4"/>
      <c r="AP52" s="4"/>
      <c r="AQ52" s="4"/>
      <c r="AR52" s="4"/>
      <c r="AS52" s="4"/>
      <c r="AT52" s="4"/>
      <c r="AU52" s="4"/>
      <c r="AV52" s="4"/>
      <c r="AW52" s="4"/>
      <c r="AX52" s="4"/>
      <c r="AY52" s="4"/>
      <c r="AZ52" s="4"/>
      <c r="BA52" s="4"/>
      <c r="BB52" s="4"/>
      <c r="BC52" s="4"/>
      <c r="BD52" s="4"/>
      <c r="BE52" s="4"/>
      <c r="BF52" s="4"/>
      <c r="BG52" s="252"/>
      <c r="BI52" s="20"/>
    </row>
    <row r="53" spans="1:61" ht="9.9499999999999993" customHeight="1">
      <c r="A53" s="23"/>
      <c r="B53" s="28" t="str">
        <f>HLOOKUP($B$1,e!$A$1:$AB$55,G44,FALSE)</f>
        <v>Grupo Madre / Iglesia</v>
      </c>
      <c r="C53" s="28"/>
      <c r="D53" s="257"/>
      <c r="E53" s="257"/>
      <c r="F53" s="257"/>
      <c r="G53" s="257"/>
      <c r="H53" s="257"/>
      <c r="I53" s="257"/>
      <c r="J53" s="257"/>
      <c r="K53" s="257"/>
      <c r="L53" s="257"/>
      <c r="M53" s="257"/>
      <c r="P53" s="28" t="str">
        <f>HLOOKUP($B$1,e!$A$1:$AB$55,H44,FALSE)</f>
        <v>Nombre del socio</v>
      </c>
      <c r="R53" s="257"/>
      <c r="S53" s="257"/>
      <c r="T53" s="257"/>
      <c r="U53" s="257"/>
      <c r="V53" s="257"/>
      <c r="W53" s="257"/>
      <c r="X53" s="257"/>
      <c r="Y53" s="257"/>
      <c r="Z53" s="28"/>
      <c r="AA53" s="28"/>
      <c r="AB53" s="28"/>
      <c r="AC53" s="1"/>
      <c r="AD53" s="1"/>
      <c r="AE53" s="1"/>
      <c r="AF53" s="1"/>
      <c r="AG53" s="15"/>
      <c r="AH53" s="253"/>
      <c r="AI53" s="5"/>
      <c r="AJ53" s="5"/>
      <c r="AK53" s="5"/>
      <c r="AL53" s="5"/>
      <c r="AM53" s="5"/>
      <c r="AN53" s="5"/>
      <c r="AO53" s="5"/>
      <c r="AP53" s="5"/>
      <c r="AQ53" s="5"/>
      <c r="AR53" s="5"/>
      <c r="AS53" s="5"/>
      <c r="AT53" s="5"/>
      <c r="AU53" s="5"/>
      <c r="AV53" s="5"/>
      <c r="AW53" s="5"/>
      <c r="AX53" s="5"/>
      <c r="AY53" s="5"/>
      <c r="AZ53" s="5"/>
      <c r="BA53" s="5"/>
      <c r="BB53" s="5"/>
      <c r="BC53" s="5"/>
      <c r="BD53" s="5"/>
      <c r="BE53" s="5"/>
      <c r="BF53" s="5"/>
      <c r="BG53" s="3"/>
      <c r="BI53" s="20"/>
    </row>
    <row r="54" spans="1:61" ht="9.9499999999999993" customHeight="1">
      <c r="A54" s="23"/>
      <c r="B54" s="355"/>
      <c r="C54" s="356"/>
      <c r="D54" s="356"/>
      <c r="E54" s="356"/>
      <c r="F54" s="357"/>
      <c r="G54" s="258"/>
      <c r="H54" s="355"/>
      <c r="I54" s="356"/>
      <c r="J54" s="356"/>
      <c r="K54" s="356"/>
      <c r="L54" s="357"/>
      <c r="M54" s="257"/>
      <c r="N54" s="355"/>
      <c r="O54" s="356"/>
      <c r="P54" s="356"/>
      <c r="Q54" s="356"/>
      <c r="R54" s="357"/>
      <c r="S54" s="257"/>
      <c r="T54" s="361" t="str">
        <f>IFERROR(VLOOKUP($AF1,Data!$A:$AZ,29,FALSE),"")</f>
        <v/>
      </c>
      <c r="U54" s="362"/>
      <c r="V54" s="362"/>
      <c r="W54" s="362"/>
      <c r="X54" s="362"/>
      <c r="Y54" s="362"/>
      <c r="Z54" s="362"/>
      <c r="AA54" s="362"/>
      <c r="AB54" s="363"/>
      <c r="AC54" s="29"/>
      <c r="AD54" s="29"/>
      <c r="AE54" s="29"/>
      <c r="AF54" s="1"/>
      <c r="AG54" s="15"/>
      <c r="AH54" s="253"/>
      <c r="AI54" s="5"/>
      <c r="AJ54" s="5"/>
      <c r="AK54" s="5"/>
      <c r="AL54" s="5"/>
      <c r="AM54" s="5"/>
      <c r="AN54" s="5"/>
      <c r="AO54" s="5"/>
      <c r="AP54" s="5"/>
      <c r="AQ54" s="5"/>
      <c r="AR54" s="5"/>
      <c r="AS54" s="5"/>
      <c r="AT54" s="5"/>
      <c r="AU54" s="5"/>
      <c r="AV54" s="5"/>
      <c r="AW54" s="5"/>
      <c r="AX54" s="5"/>
      <c r="AY54" s="5"/>
      <c r="AZ54" s="5"/>
      <c r="BA54" s="5"/>
      <c r="BB54" s="5"/>
      <c r="BC54" s="5"/>
      <c r="BD54" s="5"/>
      <c r="BE54" s="5"/>
      <c r="BF54" s="5"/>
      <c r="BG54" s="3"/>
      <c r="BI54" s="20"/>
    </row>
    <row r="55" spans="1:61" ht="9.9499999999999993" customHeight="1">
      <c r="A55" s="23"/>
      <c r="B55" s="358"/>
      <c r="C55" s="359"/>
      <c r="D55" s="359"/>
      <c r="E55" s="359"/>
      <c r="F55" s="360"/>
      <c r="G55" s="258"/>
      <c r="H55" s="358"/>
      <c r="I55" s="359"/>
      <c r="J55" s="359"/>
      <c r="K55" s="359"/>
      <c r="L55" s="360"/>
      <c r="M55" s="257"/>
      <c r="N55" s="358"/>
      <c r="O55" s="359"/>
      <c r="P55" s="359"/>
      <c r="Q55" s="359"/>
      <c r="R55" s="360"/>
      <c r="S55" s="257"/>
      <c r="T55" s="364"/>
      <c r="U55" s="365"/>
      <c r="V55" s="365"/>
      <c r="W55" s="365"/>
      <c r="X55" s="365"/>
      <c r="Y55" s="365"/>
      <c r="Z55" s="365"/>
      <c r="AA55" s="365"/>
      <c r="AB55" s="366"/>
      <c r="AC55" s="1"/>
      <c r="AD55" s="1"/>
      <c r="AE55" s="1"/>
      <c r="AF55" s="1"/>
      <c r="AG55" s="15"/>
      <c r="AH55" s="253"/>
      <c r="AI55" s="5"/>
      <c r="AJ55" s="5"/>
      <c r="AK55" s="5"/>
      <c r="AL55" s="5"/>
      <c r="AM55" s="5"/>
      <c r="AN55" s="5"/>
      <c r="AO55" s="5"/>
      <c r="AP55" s="5"/>
      <c r="AQ55" s="5"/>
      <c r="AR55" s="5"/>
      <c r="AS55" s="5"/>
      <c r="AT55" s="5"/>
      <c r="AU55" s="5"/>
      <c r="AV55" s="5"/>
      <c r="AW55" s="5"/>
      <c r="AX55" s="5"/>
      <c r="AY55" s="5"/>
      <c r="AZ55" s="5"/>
      <c r="BA55" s="5"/>
      <c r="BB55" s="5"/>
      <c r="BC55" s="5"/>
      <c r="BD55" s="5"/>
      <c r="BE55" s="5"/>
      <c r="BF55" s="5"/>
      <c r="BG55" s="3"/>
      <c r="BI55" s="20"/>
    </row>
    <row r="56" spans="1:61" ht="9.9499999999999993" customHeight="1">
      <c r="A56" s="23"/>
      <c r="B56" s="344" t="str">
        <f>HLOOKUP($B$1,e!$A$1:$AB$55,I44,FALSE)</f>
        <v>Desde</v>
      </c>
      <c r="C56" s="344"/>
      <c r="D56" s="344"/>
      <c r="E56" s="344"/>
      <c r="F56" s="344"/>
      <c r="G56" s="32"/>
      <c r="H56" s="344" t="str">
        <f>HLOOKUP($B$1,e!$A$1:$AB$55,J44,FALSE)</f>
        <v>Hasta</v>
      </c>
      <c r="I56" s="344"/>
      <c r="J56" s="344"/>
      <c r="K56" s="344"/>
      <c r="L56" s="344"/>
      <c r="M56" s="32"/>
      <c r="N56" s="344" t="str">
        <f>HLOOKUP($B$1,e!$A$1:$AB$55,K44,FALSE)</f>
        <v>Reunido</v>
      </c>
      <c r="O56" s="344"/>
      <c r="P56" s="344"/>
      <c r="Q56" s="344"/>
      <c r="R56" s="344"/>
      <c r="S56" s="31"/>
      <c r="T56" s="28" t="str">
        <f>HLOOKUP($B$1,e!$A$1:$AB$55,L44,FALSE)</f>
        <v>Entrenador</v>
      </c>
      <c r="U56" s="28"/>
      <c r="V56" s="28"/>
      <c r="W56" s="28"/>
      <c r="X56" s="28"/>
      <c r="Y56" s="28"/>
      <c r="Z56" s="28"/>
      <c r="AA56" s="28"/>
      <c r="AB56" s="28"/>
      <c r="AC56" s="1"/>
      <c r="AD56" s="1"/>
      <c r="AE56" s="1"/>
      <c r="AF56" s="1"/>
      <c r="AG56" s="15">
        <v>27</v>
      </c>
      <c r="AH56" s="254" t="str">
        <f>HLOOKUP($B$1,e!$A$1:$AB$55,AG56,FALSE)</f>
        <v>Otros detalles</v>
      </c>
      <c r="AI56" s="7"/>
      <c r="AJ56" s="7"/>
      <c r="AK56" s="7"/>
      <c r="AL56" s="7"/>
      <c r="AM56" s="7"/>
      <c r="AN56" s="7"/>
      <c r="AO56" s="7"/>
      <c r="AP56" s="7"/>
      <c r="AQ56" s="7"/>
      <c r="AR56" s="7"/>
      <c r="AS56" s="7"/>
      <c r="AT56" s="7"/>
      <c r="AU56" s="7"/>
      <c r="AV56" s="7"/>
      <c r="AW56" s="7"/>
      <c r="AX56" s="7"/>
      <c r="AY56" s="7"/>
      <c r="AZ56" s="7"/>
      <c r="BA56" s="7"/>
      <c r="BB56" s="7"/>
      <c r="BC56" s="7"/>
      <c r="BD56" s="7"/>
      <c r="BE56" s="7"/>
      <c r="BF56" s="7"/>
      <c r="BG56" s="255"/>
      <c r="BI56" s="20"/>
    </row>
    <row r="57" spans="1:61" ht="9.9499999999999993" customHeight="1">
      <c r="A57" s="23"/>
      <c r="B57" s="345" t="str">
        <f>HLOOKUP($B$1,e!$A$1:$AB$55,M44,FALSE)</f>
        <v>(ingrese las fechas en las 3 casillas de arriba)</v>
      </c>
      <c r="C57" s="345"/>
      <c r="D57" s="345"/>
      <c r="E57" s="345"/>
      <c r="F57" s="345"/>
      <c r="G57" s="345"/>
      <c r="H57" s="345"/>
      <c r="I57" s="345"/>
      <c r="J57" s="345"/>
      <c r="K57" s="345"/>
      <c r="L57" s="345"/>
      <c r="M57" s="345"/>
      <c r="N57" s="345"/>
      <c r="O57" s="345"/>
      <c r="P57" s="345"/>
      <c r="Q57" s="345"/>
      <c r="R57" s="345"/>
      <c r="S57" s="259"/>
      <c r="T57" s="259"/>
      <c r="U57" s="259"/>
      <c r="V57" s="259"/>
      <c r="W57" s="259"/>
      <c r="X57" s="259"/>
      <c r="Y57" s="259"/>
      <c r="Z57" s="77"/>
      <c r="AA57" s="28"/>
      <c r="AB57" s="28"/>
      <c r="AC57" s="1"/>
      <c r="AD57" s="1"/>
      <c r="AE57" s="1"/>
      <c r="AF57" s="1"/>
      <c r="AG57" s="260"/>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I57" s="20"/>
    </row>
    <row r="58" spans="1:61" ht="9.9499999999999993" customHeight="1">
      <c r="A58" s="23"/>
      <c r="B58" s="261"/>
      <c r="C58" s="346"/>
      <c r="D58" s="347"/>
      <c r="E58" s="347"/>
      <c r="F58" s="347"/>
      <c r="G58" s="347"/>
      <c r="H58" s="347"/>
      <c r="I58" s="347"/>
      <c r="J58" s="347"/>
      <c r="K58" s="347"/>
      <c r="L58" s="347"/>
      <c r="M58" s="347"/>
      <c r="N58" s="347"/>
      <c r="O58" s="347"/>
      <c r="P58" s="347"/>
      <c r="Q58" s="347"/>
      <c r="R58" s="347"/>
      <c r="S58" s="347"/>
      <c r="T58" s="347"/>
      <c r="U58" s="347"/>
      <c r="V58" s="347"/>
      <c r="W58" s="347"/>
      <c r="X58" s="347"/>
      <c r="Y58" s="347"/>
      <c r="Z58" s="347"/>
      <c r="AA58" s="348"/>
      <c r="AB58" s="262"/>
      <c r="AC58" s="1"/>
      <c r="AD58" s="1"/>
      <c r="AE58" s="1"/>
      <c r="AF58" s="1"/>
      <c r="AG58" s="260"/>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I58" s="20"/>
    </row>
    <row r="59" spans="1:61" ht="9.9499999999999993" customHeight="1">
      <c r="A59" s="23"/>
      <c r="B59" s="80"/>
      <c r="C59" s="349"/>
      <c r="D59" s="350"/>
      <c r="E59" s="350"/>
      <c r="F59" s="350"/>
      <c r="G59" s="350"/>
      <c r="H59" s="350"/>
      <c r="I59" s="350"/>
      <c r="J59" s="350"/>
      <c r="K59" s="350"/>
      <c r="L59" s="350"/>
      <c r="M59" s="350"/>
      <c r="N59" s="350"/>
      <c r="O59" s="350"/>
      <c r="P59" s="350"/>
      <c r="Q59" s="350"/>
      <c r="R59" s="350"/>
      <c r="S59" s="350"/>
      <c r="T59" s="350"/>
      <c r="U59" s="350"/>
      <c r="V59" s="350"/>
      <c r="W59" s="350"/>
      <c r="X59" s="350"/>
      <c r="Y59" s="350"/>
      <c r="Z59" s="350"/>
      <c r="AA59" s="351"/>
      <c r="AB59" s="262"/>
      <c r="AC59" s="10"/>
      <c r="AD59" s="10"/>
      <c r="AE59" s="10"/>
      <c r="AF59" s="10"/>
      <c r="AG59" s="260"/>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I59" s="20"/>
    </row>
    <row r="60" spans="1:61" ht="9.9499999999999993" customHeight="1">
      <c r="A60" s="23"/>
      <c r="B60" s="263"/>
      <c r="C60" s="78" t="str">
        <f>HLOOKUP($B$1,e!$A$1:$AB$55,N44,FALSE)</f>
        <v>carné de identidad</v>
      </c>
      <c r="D60" s="1"/>
      <c r="E60" s="1"/>
      <c r="F60" s="1"/>
      <c r="G60" s="1"/>
      <c r="H60" s="1"/>
      <c r="I60" s="1"/>
      <c r="J60" s="1"/>
      <c r="K60" s="1"/>
      <c r="L60" s="1"/>
      <c r="M60" s="1"/>
      <c r="N60" s="1"/>
      <c r="O60" s="1"/>
      <c r="P60" s="1"/>
      <c r="Q60" s="1"/>
      <c r="R60" s="1"/>
      <c r="S60" s="1"/>
      <c r="T60" s="1"/>
      <c r="U60" s="1"/>
      <c r="V60" s="1"/>
      <c r="W60" s="1"/>
      <c r="X60" s="1"/>
      <c r="Y60" s="1"/>
      <c r="Z60" s="1"/>
      <c r="AA60" s="12"/>
      <c r="AB60" s="1"/>
      <c r="AC60" s="1"/>
      <c r="AD60" s="264"/>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I60" s="20"/>
    </row>
    <row r="61" spans="1:61" ht="9.9499999999999993" customHeight="1">
      <c r="A61" s="23"/>
      <c r="B61" s="1"/>
      <c r="C61" s="250"/>
      <c r="D61" s="1"/>
      <c r="E61" s="1"/>
      <c r="F61" s="1"/>
      <c r="G61" s="1"/>
      <c r="H61" s="1"/>
      <c r="I61" s="1"/>
      <c r="J61" s="1"/>
      <c r="K61" s="1"/>
      <c r="L61" s="1"/>
      <c r="M61" s="1"/>
      <c r="N61" s="1"/>
      <c r="O61" s="1"/>
      <c r="P61" s="1"/>
      <c r="Q61" s="1"/>
      <c r="R61" s="1"/>
      <c r="S61" s="1"/>
      <c r="T61" s="1"/>
      <c r="U61" s="1"/>
      <c r="V61" s="1"/>
      <c r="W61" s="1"/>
      <c r="X61" s="1"/>
      <c r="Y61" s="1"/>
      <c r="Z61" s="1"/>
      <c r="AA61" s="250"/>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I61" s="20"/>
    </row>
    <row r="62" spans="1:61" ht="11.45" customHeight="1">
      <c r="A62" s="23"/>
      <c r="B62" s="265">
        <v>13</v>
      </c>
      <c r="C62" s="352" t="str">
        <f>HLOOKUP($B$1,e!$A$1:$AB$55,B62,FALSE)</f>
        <v>¿Cuál es mi meta(s) para los próximos tres meses?</v>
      </c>
      <c r="D62" s="353"/>
      <c r="E62" s="353"/>
      <c r="F62" s="353"/>
      <c r="G62" s="353"/>
      <c r="H62" s="353"/>
      <c r="I62" s="353"/>
      <c r="J62" s="353"/>
      <c r="K62" s="353"/>
      <c r="L62" s="353"/>
      <c r="M62" s="353"/>
      <c r="N62" s="353"/>
      <c r="O62" s="353"/>
      <c r="P62" s="353"/>
      <c r="Q62" s="353"/>
      <c r="R62" s="353"/>
      <c r="S62" s="353"/>
      <c r="T62" s="353"/>
      <c r="U62" s="353"/>
      <c r="V62" s="353"/>
      <c r="W62" s="353"/>
      <c r="X62" s="353"/>
      <c r="Y62" s="353"/>
      <c r="Z62" s="353"/>
      <c r="AA62" s="353"/>
      <c r="AB62" s="354"/>
      <c r="AC62" s="1"/>
      <c r="AD62" s="1"/>
      <c r="AE62" s="1"/>
      <c r="AF62" s="1"/>
      <c r="AG62" s="265">
        <v>32</v>
      </c>
      <c r="AH62" s="251" t="str">
        <f>HLOOKUP($B$1,e!$A$1:$AB$55,AG62,FALSE)</f>
        <v>Información del grupo</v>
      </c>
      <c r="AI62" s="4"/>
      <c r="AJ62" s="4"/>
      <c r="AK62" s="4"/>
      <c r="AL62" s="4"/>
      <c r="AM62" s="4"/>
      <c r="AN62" s="4"/>
      <c r="AO62" s="4"/>
      <c r="AP62" s="27"/>
      <c r="AQ62" s="4"/>
      <c r="AR62" s="4" t="str">
        <f>HLOOKUP($B$1,e!$A$1:$AB$55,BH62,FALSE)</f>
        <v>Notas</v>
      </c>
      <c r="AS62" s="4"/>
      <c r="AT62" s="4"/>
      <c r="AU62" s="4"/>
      <c r="AV62" s="4"/>
      <c r="AW62" s="4"/>
      <c r="AX62" s="4"/>
      <c r="AY62" s="4"/>
      <c r="AZ62" s="4"/>
      <c r="BA62" s="4"/>
      <c r="BB62" s="4"/>
      <c r="BC62" s="4"/>
      <c r="BD62" s="4"/>
      <c r="BE62" s="4"/>
      <c r="BF62" s="4"/>
      <c r="BG62" s="27"/>
      <c r="BH62" s="265">
        <v>33</v>
      </c>
      <c r="BI62" s="20"/>
    </row>
    <row r="63" spans="1:61" ht="9.9499999999999993" customHeight="1">
      <c r="A63" s="23"/>
      <c r="B63" s="10"/>
      <c r="C63" s="2"/>
      <c r="D63" s="1"/>
      <c r="E63" s="1"/>
      <c r="F63" s="1"/>
      <c r="G63" s="1"/>
      <c r="H63" s="1"/>
      <c r="I63" s="1"/>
      <c r="J63" s="1"/>
      <c r="K63" s="1"/>
      <c r="L63" s="1"/>
      <c r="M63" s="1"/>
      <c r="N63" s="1"/>
      <c r="O63" s="1"/>
      <c r="P63" s="1"/>
      <c r="Q63" s="1"/>
      <c r="R63" s="1"/>
      <c r="S63" s="1"/>
      <c r="T63" s="1"/>
      <c r="U63" s="1"/>
      <c r="V63" s="1"/>
      <c r="W63" s="1"/>
      <c r="X63" s="1"/>
      <c r="Y63" s="1"/>
      <c r="Z63" s="1"/>
      <c r="AA63" s="1"/>
      <c r="AB63" s="3"/>
      <c r="AC63" s="1"/>
      <c r="AD63" s="1"/>
      <c r="AE63" s="1"/>
      <c r="AF63" s="1"/>
      <c r="AG63" s="1"/>
      <c r="AH63" s="2"/>
      <c r="AI63" s="1"/>
      <c r="AJ63" s="1"/>
      <c r="AK63" s="1"/>
      <c r="AL63" s="1"/>
      <c r="AM63" s="1"/>
      <c r="AN63" s="1"/>
      <c r="AO63" s="1"/>
      <c r="AP63" s="3"/>
      <c r="AQ63" s="1"/>
      <c r="AR63" s="1"/>
      <c r="AS63" s="1"/>
      <c r="AT63" s="1"/>
      <c r="AU63" s="1"/>
      <c r="AV63" s="1"/>
      <c r="AW63" s="1"/>
      <c r="AX63" s="1"/>
      <c r="AY63" s="1"/>
      <c r="AZ63" s="1"/>
      <c r="BA63" s="1"/>
      <c r="BB63" s="1"/>
      <c r="BC63" s="1"/>
      <c r="BD63" s="1"/>
      <c r="BE63" s="1"/>
      <c r="BF63" s="1"/>
      <c r="BG63" s="3"/>
      <c r="BI63" s="20"/>
    </row>
    <row r="64" spans="1:61" ht="9.9499999999999993" customHeight="1">
      <c r="A64" s="23"/>
      <c r="B64" s="10"/>
      <c r="C64" s="2"/>
      <c r="D64" s="1"/>
      <c r="E64" s="1"/>
      <c r="F64" s="1"/>
      <c r="G64" s="1"/>
      <c r="H64" s="1"/>
      <c r="I64" s="1"/>
      <c r="J64" s="1"/>
      <c r="K64" s="1"/>
      <c r="L64" s="1"/>
      <c r="M64" s="1"/>
      <c r="N64" s="1"/>
      <c r="O64" s="1"/>
      <c r="P64" s="1"/>
      <c r="Q64" s="1"/>
      <c r="R64" s="1"/>
      <c r="S64" s="1"/>
      <c r="T64" s="1"/>
      <c r="U64" s="1"/>
      <c r="V64" s="1"/>
      <c r="W64" s="1"/>
      <c r="X64" s="1"/>
      <c r="Y64" s="1"/>
      <c r="Z64" s="1"/>
      <c r="AA64" s="1"/>
      <c r="AB64" s="3"/>
      <c r="AC64" s="1"/>
      <c r="AD64" s="1"/>
      <c r="AE64" s="1"/>
      <c r="AF64" s="1"/>
      <c r="AG64" s="1"/>
      <c r="AH64" s="2"/>
      <c r="AI64" s="1"/>
      <c r="AJ64" s="1"/>
      <c r="AK64" s="1"/>
      <c r="AL64" s="1"/>
      <c r="AM64" s="1"/>
      <c r="AN64" s="1"/>
      <c r="AO64" s="1"/>
      <c r="AP64" s="3"/>
      <c r="AQ64" s="1"/>
      <c r="AR64" s="1"/>
      <c r="AS64" s="1"/>
      <c r="AT64" s="1"/>
      <c r="AU64" s="1"/>
      <c r="AV64" s="1"/>
      <c r="AW64" s="1"/>
      <c r="AX64" s="1"/>
      <c r="AY64" s="1"/>
      <c r="AZ64" s="1"/>
      <c r="BA64" s="1"/>
      <c r="BB64" s="1"/>
      <c r="BC64" s="1"/>
      <c r="BD64" s="1"/>
      <c r="BE64" s="1"/>
      <c r="BF64" s="1"/>
      <c r="BG64" s="3"/>
      <c r="BI64" s="20"/>
    </row>
    <row r="65" spans="1:61" ht="9.9499999999999993" customHeight="1">
      <c r="A65" s="23"/>
      <c r="B65" s="10"/>
      <c r="C65" s="2"/>
      <c r="D65" s="1"/>
      <c r="E65" s="1"/>
      <c r="F65" s="1"/>
      <c r="G65" s="1"/>
      <c r="H65" s="1"/>
      <c r="I65" s="1"/>
      <c r="J65" s="1"/>
      <c r="K65" s="1"/>
      <c r="L65" s="1"/>
      <c r="M65" s="1"/>
      <c r="N65" s="1"/>
      <c r="O65" s="1"/>
      <c r="P65" s="1"/>
      <c r="Q65" s="1"/>
      <c r="R65" s="1"/>
      <c r="S65" s="1"/>
      <c r="T65" s="1"/>
      <c r="U65" s="1"/>
      <c r="V65" s="1"/>
      <c r="W65" s="1"/>
      <c r="X65" s="1"/>
      <c r="Y65" s="1"/>
      <c r="Z65" s="1"/>
      <c r="AA65" s="1"/>
      <c r="AB65" s="3"/>
      <c r="AC65" s="1"/>
      <c r="AD65" s="1"/>
      <c r="AE65" s="1"/>
      <c r="AF65" s="1"/>
      <c r="AG65" s="1"/>
      <c r="AH65" s="2"/>
      <c r="AI65" s="1"/>
      <c r="AJ65" s="1"/>
      <c r="AK65" s="1"/>
      <c r="AL65" s="1"/>
      <c r="AM65" s="1"/>
      <c r="AN65" s="1"/>
      <c r="AO65" s="1"/>
      <c r="AP65" s="3"/>
      <c r="AQ65" s="1"/>
      <c r="AR65" s="1"/>
      <c r="AS65" s="1"/>
      <c r="AT65" s="1"/>
      <c r="AU65" s="1"/>
      <c r="AV65" s="1"/>
      <c r="AW65" s="1"/>
      <c r="AX65" s="1"/>
      <c r="AY65" s="1"/>
      <c r="AZ65" s="1"/>
      <c r="BA65" s="1"/>
      <c r="BB65" s="1"/>
      <c r="BC65" s="1"/>
      <c r="BD65" s="1"/>
      <c r="BE65" s="1"/>
      <c r="BF65" s="1"/>
      <c r="BG65" s="3"/>
      <c r="BI65" s="20"/>
    </row>
    <row r="66" spans="1:61" ht="9.9499999999999993" customHeight="1">
      <c r="A66" s="23"/>
      <c r="B66" s="10"/>
      <c r="C66" s="2"/>
      <c r="D66" s="1"/>
      <c r="E66" s="1"/>
      <c r="F66" s="1"/>
      <c r="G66" s="1"/>
      <c r="H66" s="1"/>
      <c r="I66" s="1"/>
      <c r="J66" s="1"/>
      <c r="K66" s="1"/>
      <c r="L66" s="1"/>
      <c r="M66" s="1"/>
      <c r="N66" s="1"/>
      <c r="O66" s="1"/>
      <c r="P66" s="1"/>
      <c r="Q66" s="1"/>
      <c r="R66" s="1"/>
      <c r="S66" s="1"/>
      <c r="T66" s="1"/>
      <c r="U66" s="1"/>
      <c r="V66" s="1"/>
      <c r="W66" s="1"/>
      <c r="X66" s="1"/>
      <c r="Y66" s="1"/>
      <c r="Z66" s="1"/>
      <c r="AA66" s="1"/>
      <c r="AB66" s="3"/>
      <c r="AC66" s="1"/>
      <c r="AD66" s="1"/>
      <c r="AE66" s="1"/>
      <c r="AF66" s="1"/>
      <c r="AG66" s="1"/>
      <c r="AH66" s="14"/>
      <c r="AI66" s="250"/>
      <c r="AJ66" s="250"/>
      <c r="AK66" s="250"/>
      <c r="AL66" s="250"/>
      <c r="AM66" s="250"/>
      <c r="AN66" s="250"/>
      <c r="AO66" s="250"/>
      <c r="AP66" s="255"/>
      <c r="AQ66" s="1"/>
      <c r="AR66" s="1"/>
      <c r="AS66" s="1"/>
      <c r="AT66" s="1"/>
      <c r="AU66" s="1"/>
      <c r="AV66" s="1"/>
      <c r="AW66" s="1"/>
      <c r="AX66" s="1"/>
      <c r="AY66" s="1"/>
      <c r="AZ66" s="1"/>
      <c r="BA66" s="1"/>
      <c r="BB66" s="1"/>
      <c r="BC66" s="1"/>
      <c r="BD66" s="1"/>
      <c r="BE66" s="1"/>
      <c r="BF66" s="1"/>
      <c r="BG66" s="3"/>
      <c r="BI66" s="20"/>
    </row>
    <row r="67" spans="1:61" ht="9.9499999999999993" customHeight="1">
      <c r="A67" s="23"/>
      <c r="B67" s="10"/>
      <c r="C67" s="2"/>
      <c r="D67" s="1"/>
      <c r="E67" s="1"/>
      <c r="F67" s="1"/>
      <c r="G67" s="1"/>
      <c r="H67" s="1"/>
      <c r="I67" s="1"/>
      <c r="J67" s="1"/>
      <c r="K67" s="1"/>
      <c r="L67" s="1"/>
      <c r="M67" s="1"/>
      <c r="N67" s="1"/>
      <c r="O67" s="1"/>
      <c r="P67" s="1"/>
      <c r="Q67" s="1"/>
      <c r="R67" s="1"/>
      <c r="S67" s="1"/>
      <c r="T67" s="1"/>
      <c r="U67" s="1"/>
      <c r="V67" s="1"/>
      <c r="W67" s="1"/>
      <c r="X67" s="1"/>
      <c r="Y67" s="1"/>
      <c r="Z67" s="1"/>
      <c r="AA67" s="1"/>
      <c r="AB67" s="3"/>
      <c r="AC67" s="1"/>
      <c r="AD67" s="1"/>
      <c r="AE67" s="1"/>
      <c r="AF67" s="1"/>
      <c r="AG67" s="1"/>
      <c r="AH67" s="13"/>
      <c r="AI67" s="266"/>
      <c r="AJ67" s="266"/>
      <c r="AK67" s="266"/>
      <c r="AL67" s="266"/>
      <c r="AM67" s="266"/>
      <c r="AN67" s="266"/>
      <c r="AO67" s="266"/>
      <c r="AP67" s="252"/>
      <c r="AQ67" s="1"/>
      <c r="AR67" s="1"/>
      <c r="AS67" s="1"/>
      <c r="AT67" s="1"/>
      <c r="AU67" s="1"/>
      <c r="AV67" s="1"/>
      <c r="AW67" s="1"/>
      <c r="AX67" s="1"/>
      <c r="AY67" s="1"/>
      <c r="AZ67" s="1"/>
      <c r="BA67" s="1"/>
      <c r="BB67" s="1"/>
      <c r="BC67" s="1"/>
      <c r="BD67" s="1"/>
      <c r="BE67" s="1"/>
      <c r="BF67" s="1"/>
      <c r="BG67" s="3"/>
      <c r="BI67" s="20"/>
    </row>
    <row r="68" spans="1:61" ht="9.9499999999999993" customHeight="1">
      <c r="A68" s="23"/>
      <c r="B68" s="10"/>
      <c r="C68" s="2"/>
      <c r="D68" s="1"/>
      <c r="E68" s="1"/>
      <c r="F68" s="1"/>
      <c r="G68" s="1"/>
      <c r="H68" s="1"/>
      <c r="I68" s="1"/>
      <c r="J68" s="1"/>
      <c r="K68" s="1"/>
      <c r="L68" s="1"/>
      <c r="M68" s="1"/>
      <c r="N68" s="1"/>
      <c r="O68" s="1"/>
      <c r="P68" s="1"/>
      <c r="Q68" s="1"/>
      <c r="R68" s="1"/>
      <c r="S68" s="1"/>
      <c r="T68" s="1"/>
      <c r="U68" s="1"/>
      <c r="V68" s="1"/>
      <c r="W68" s="1"/>
      <c r="X68" s="1"/>
      <c r="Y68" s="1"/>
      <c r="Z68" s="1"/>
      <c r="AA68" s="1"/>
      <c r="AB68" s="3"/>
      <c r="AC68" s="1"/>
      <c r="AD68" s="1"/>
      <c r="AE68" s="1"/>
      <c r="AF68" s="1"/>
      <c r="AG68" s="1"/>
      <c r="AH68" s="2"/>
      <c r="AI68" s="1"/>
      <c r="AJ68" s="1"/>
      <c r="AK68" s="1"/>
      <c r="AL68" s="1"/>
      <c r="AM68" s="1"/>
      <c r="AN68" s="1"/>
      <c r="AO68" s="1"/>
      <c r="AP68" s="3"/>
      <c r="AQ68" s="1"/>
      <c r="AR68" s="1"/>
      <c r="AS68" s="1"/>
      <c r="AT68" s="1"/>
      <c r="AU68" s="1"/>
      <c r="AV68" s="1"/>
      <c r="AW68" s="1"/>
      <c r="AX68" s="1"/>
      <c r="AY68" s="1"/>
      <c r="AZ68" s="1"/>
      <c r="BA68" s="1"/>
      <c r="BB68" s="1"/>
      <c r="BC68" s="1"/>
      <c r="BD68" s="1"/>
      <c r="BE68" s="1"/>
      <c r="BF68" s="1"/>
      <c r="BG68" s="3"/>
      <c r="BI68" s="20"/>
    </row>
    <row r="69" spans="1:61" ht="9.9499999999999993" customHeight="1">
      <c r="A69" s="23"/>
      <c r="B69" s="10"/>
      <c r="C69" s="2"/>
      <c r="D69" s="1"/>
      <c r="E69" s="1"/>
      <c r="F69" s="1"/>
      <c r="G69" s="1"/>
      <c r="H69" s="1"/>
      <c r="I69" s="1"/>
      <c r="J69" s="1"/>
      <c r="K69" s="1"/>
      <c r="L69" s="1"/>
      <c r="M69" s="1"/>
      <c r="N69" s="1"/>
      <c r="O69" s="1"/>
      <c r="P69" s="1"/>
      <c r="Q69" s="1"/>
      <c r="R69" s="1"/>
      <c r="S69" s="1"/>
      <c r="T69" s="1"/>
      <c r="U69" s="1"/>
      <c r="V69" s="1"/>
      <c r="W69" s="1"/>
      <c r="X69" s="1"/>
      <c r="Y69" s="1"/>
      <c r="Z69" s="1"/>
      <c r="AA69" s="1"/>
      <c r="AB69" s="3"/>
      <c r="AC69" s="1"/>
      <c r="AD69" s="1"/>
      <c r="AE69" s="1"/>
      <c r="AF69" s="1"/>
      <c r="AG69" s="1"/>
      <c r="AH69" s="2"/>
      <c r="AI69" s="1"/>
      <c r="AJ69" s="1"/>
      <c r="AK69" s="1"/>
      <c r="AL69" s="1"/>
      <c r="AM69" s="1"/>
      <c r="AN69" s="1"/>
      <c r="AO69" s="1"/>
      <c r="AP69" s="3"/>
      <c r="AQ69" s="1"/>
      <c r="AR69" s="1"/>
      <c r="AS69" s="1"/>
      <c r="AT69" s="1"/>
      <c r="AU69" s="1"/>
      <c r="AV69" s="1"/>
      <c r="AW69" s="1"/>
      <c r="AX69" s="1"/>
      <c r="AY69" s="1"/>
      <c r="AZ69" s="1"/>
      <c r="BA69" s="1"/>
      <c r="BB69" s="1"/>
      <c r="BC69" s="1"/>
      <c r="BD69" s="1"/>
      <c r="BE69" s="1"/>
      <c r="BF69" s="1"/>
      <c r="BG69" s="3"/>
      <c r="BI69" s="20"/>
    </row>
    <row r="70" spans="1:61" ht="9.9499999999999993" customHeight="1">
      <c r="A70" s="23"/>
      <c r="B70" s="10"/>
      <c r="C70" s="2"/>
      <c r="D70" s="1"/>
      <c r="E70" s="1"/>
      <c r="F70" s="1"/>
      <c r="G70" s="1"/>
      <c r="H70" s="1"/>
      <c r="I70" s="1"/>
      <c r="J70" s="1"/>
      <c r="K70" s="1"/>
      <c r="L70" s="1"/>
      <c r="M70" s="1"/>
      <c r="N70" s="1"/>
      <c r="O70" s="1"/>
      <c r="P70" s="1"/>
      <c r="Q70" s="1"/>
      <c r="R70" s="1"/>
      <c r="S70" s="1"/>
      <c r="T70" s="1"/>
      <c r="U70" s="1"/>
      <c r="V70" s="1"/>
      <c r="W70" s="1"/>
      <c r="X70" s="1"/>
      <c r="Y70" s="1"/>
      <c r="Z70" s="1"/>
      <c r="AA70" s="1"/>
      <c r="AB70" s="3"/>
      <c r="AC70" s="1"/>
      <c r="AD70" s="1"/>
      <c r="AE70" s="1"/>
      <c r="AF70" s="1"/>
      <c r="AG70" s="1"/>
      <c r="AH70" s="2"/>
      <c r="AI70" s="1"/>
      <c r="AJ70" s="1"/>
      <c r="AK70" s="1"/>
      <c r="AL70" s="1"/>
      <c r="AM70" s="1"/>
      <c r="AN70" s="1"/>
      <c r="AO70" s="1"/>
      <c r="AP70" s="3"/>
      <c r="AQ70" s="1"/>
      <c r="AR70" s="1"/>
      <c r="AS70" s="1"/>
      <c r="AT70" s="1"/>
      <c r="AU70" s="1"/>
      <c r="AV70" s="1"/>
      <c r="AW70" s="1"/>
      <c r="AX70" s="1"/>
      <c r="AY70" s="1"/>
      <c r="AZ70" s="1"/>
      <c r="BA70" s="1"/>
      <c r="BB70" s="1"/>
      <c r="BC70" s="1"/>
      <c r="BD70" s="1"/>
      <c r="BE70" s="1"/>
      <c r="BF70" s="1"/>
      <c r="BG70" s="3"/>
      <c r="BI70" s="20"/>
    </row>
    <row r="71" spans="1:61" ht="9.9499999999999993" customHeight="1">
      <c r="A71" s="23"/>
      <c r="B71" s="10"/>
      <c r="C71" s="2"/>
      <c r="D71" s="1"/>
      <c r="E71" s="1"/>
      <c r="F71" s="1"/>
      <c r="G71" s="1"/>
      <c r="H71" s="1"/>
      <c r="I71" s="1"/>
      <c r="J71" s="1"/>
      <c r="K71" s="1"/>
      <c r="L71" s="1"/>
      <c r="M71" s="1"/>
      <c r="N71" s="1"/>
      <c r="O71" s="1"/>
      <c r="P71" s="1"/>
      <c r="Q71" s="1"/>
      <c r="R71" s="1"/>
      <c r="S71" s="1"/>
      <c r="T71" s="1"/>
      <c r="U71" s="1"/>
      <c r="V71" s="1"/>
      <c r="W71" s="1"/>
      <c r="X71" s="1"/>
      <c r="Y71" s="1"/>
      <c r="Z71" s="1"/>
      <c r="AA71" s="1"/>
      <c r="AB71" s="3"/>
      <c r="AC71" s="1"/>
      <c r="AD71" s="1"/>
      <c r="AE71" s="1"/>
      <c r="AF71" s="1"/>
      <c r="AG71" s="1"/>
      <c r="AH71" s="2"/>
      <c r="AI71" s="1"/>
      <c r="AJ71" s="1"/>
      <c r="AK71" s="1"/>
      <c r="AL71" s="1"/>
      <c r="AM71" s="1"/>
      <c r="AN71" s="1"/>
      <c r="AO71" s="1"/>
      <c r="AP71" s="3"/>
      <c r="AQ71" s="1"/>
      <c r="AR71" s="1"/>
      <c r="AS71" s="1"/>
      <c r="AT71" s="1"/>
      <c r="AU71" s="1"/>
      <c r="AV71" s="1"/>
      <c r="AW71" s="1"/>
      <c r="AX71" s="1"/>
      <c r="AY71" s="1"/>
      <c r="AZ71" s="1"/>
      <c r="BA71" s="1"/>
      <c r="BB71" s="1"/>
      <c r="BC71" s="1"/>
      <c r="BD71" s="1"/>
      <c r="BE71" s="1"/>
      <c r="BF71" s="1"/>
      <c r="BG71" s="3"/>
      <c r="BI71" s="20"/>
    </row>
    <row r="72" spans="1:61" ht="9.9499999999999993" customHeight="1">
      <c r="A72" s="23"/>
      <c r="B72" s="10"/>
      <c r="C72" s="2"/>
      <c r="D72" s="1"/>
      <c r="E72" s="1"/>
      <c r="F72" s="1"/>
      <c r="G72" s="1"/>
      <c r="H72" s="1"/>
      <c r="I72" s="1"/>
      <c r="J72" s="1"/>
      <c r="K72" s="1"/>
      <c r="L72" s="1"/>
      <c r="M72" s="1"/>
      <c r="N72" s="1"/>
      <c r="O72" s="1"/>
      <c r="P72" s="1"/>
      <c r="Q72" s="1"/>
      <c r="R72" s="1"/>
      <c r="S72" s="1"/>
      <c r="T72" s="1"/>
      <c r="U72" s="1"/>
      <c r="V72" s="1"/>
      <c r="W72" s="1"/>
      <c r="X72" s="1"/>
      <c r="Y72" s="1"/>
      <c r="Z72" s="1"/>
      <c r="AA72" s="1"/>
      <c r="AB72" s="3"/>
      <c r="AC72" s="1"/>
      <c r="AD72" s="1"/>
      <c r="AE72" s="1"/>
      <c r="AF72" s="1"/>
      <c r="AG72" s="1"/>
      <c r="AH72" s="2"/>
      <c r="AI72" s="1"/>
      <c r="AJ72" s="1"/>
      <c r="AK72" s="1"/>
      <c r="AL72" s="1"/>
      <c r="AM72" s="1"/>
      <c r="AN72" s="1"/>
      <c r="AO72" s="1"/>
      <c r="AP72" s="3"/>
      <c r="AQ72" s="1"/>
      <c r="AR72" s="1"/>
      <c r="AS72" s="1"/>
      <c r="AT72" s="1"/>
      <c r="AU72" s="1"/>
      <c r="AV72" s="1"/>
      <c r="AW72" s="1"/>
      <c r="AX72" s="1"/>
      <c r="AY72" s="1"/>
      <c r="AZ72" s="1"/>
      <c r="BA72" s="1"/>
      <c r="BB72" s="1"/>
      <c r="BC72" s="1"/>
      <c r="BD72" s="1"/>
      <c r="BE72" s="1"/>
      <c r="BF72" s="1"/>
      <c r="BG72" s="3"/>
      <c r="BI72" s="20"/>
    </row>
    <row r="73" spans="1:61" ht="9.9499999999999993" customHeight="1">
      <c r="A73" s="23"/>
      <c r="B73" s="10"/>
      <c r="C73" s="2"/>
      <c r="D73" s="1"/>
      <c r="E73" s="1"/>
      <c r="F73" s="1"/>
      <c r="G73" s="1"/>
      <c r="H73" s="1"/>
      <c r="I73" s="1"/>
      <c r="J73" s="1"/>
      <c r="K73" s="1"/>
      <c r="L73" s="1"/>
      <c r="M73" s="1"/>
      <c r="N73" s="1"/>
      <c r="O73" s="1"/>
      <c r="P73" s="1"/>
      <c r="Q73" s="1"/>
      <c r="R73" s="1"/>
      <c r="S73" s="1"/>
      <c r="T73" s="1"/>
      <c r="U73" s="1"/>
      <c r="V73" s="1"/>
      <c r="W73" s="1"/>
      <c r="X73" s="1"/>
      <c r="Y73" s="1"/>
      <c r="Z73" s="1"/>
      <c r="AA73" s="1"/>
      <c r="AB73" s="3"/>
      <c r="AC73" s="1"/>
      <c r="AD73" s="1"/>
      <c r="AE73" s="1"/>
      <c r="AF73" s="1"/>
      <c r="AG73" s="1"/>
      <c r="AH73" s="2"/>
      <c r="AI73" s="1"/>
      <c r="AJ73" s="1"/>
      <c r="AK73" s="1"/>
      <c r="AL73" s="1"/>
      <c r="AM73" s="1"/>
      <c r="AN73" s="1"/>
      <c r="AO73" s="1"/>
      <c r="AP73" s="3"/>
      <c r="AQ73" s="1"/>
      <c r="AR73" s="1"/>
      <c r="AS73" s="1"/>
      <c r="AT73" s="1"/>
      <c r="AU73" s="1"/>
      <c r="AV73" s="1"/>
      <c r="AW73" s="1"/>
      <c r="AX73" s="1"/>
      <c r="AY73" s="1"/>
      <c r="AZ73" s="1"/>
      <c r="BA73" s="1"/>
      <c r="BB73" s="1"/>
      <c r="BC73" s="1"/>
      <c r="BD73" s="1"/>
      <c r="BE73" s="1"/>
      <c r="BF73" s="1"/>
      <c r="BG73" s="3"/>
      <c r="BI73" s="20"/>
    </row>
    <row r="74" spans="1:61" ht="9.9499999999999993" customHeight="1">
      <c r="A74" s="23"/>
      <c r="B74" s="10"/>
      <c r="C74" s="14"/>
      <c r="D74" s="250"/>
      <c r="E74" s="250"/>
      <c r="F74" s="250"/>
      <c r="G74" s="250"/>
      <c r="H74" s="250"/>
      <c r="I74" s="250"/>
      <c r="J74" s="250"/>
      <c r="K74" s="250"/>
      <c r="L74" s="250"/>
      <c r="M74" s="250"/>
      <c r="N74" s="250"/>
      <c r="O74" s="250"/>
      <c r="P74" s="250"/>
      <c r="Q74" s="250"/>
      <c r="R74" s="250"/>
      <c r="S74" s="250"/>
      <c r="T74" s="250"/>
      <c r="U74" s="250"/>
      <c r="V74" s="250"/>
      <c r="W74" s="250"/>
      <c r="X74" s="250"/>
      <c r="Y74" s="250"/>
      <c r="Z74" s="250"/>
      <c r="AA74" s="250"/>
      <c r="AB74" s="255"/>
      <c r="AC74" s="1"/>
      <c r="AD74" s="1"/>
      <c r="AE74" s="1"/>
      <c r="AF74" s="1"/>
      <c r="AG74" s="1"/>
      <c r="AH74" s="2"/>
      <c r="AI74" s="1"/>
      <c r="AJ74" s="1"/>
      <c r="AK74" s="1"/>
      <c r="AL74" s="1"/>
      <c r="AM74" s="1"/>
      <c r="AN74" s="1"/>
      <c r="AO74" s="1"/>
      <c r="AP74" s="3"/>
      <c r="AQ74" s="1"/>
      <c r="AR74" s="1"/>
      <c r="AS74" s="1"/>
      <c r="AT74" s="1"/>
      <c r="AU74" s="1"/>
      <c r="AV74" s="1"/>
      <c r="AW74" s="1"/>
      <c r="AX74" s="1"/>
      <c r="AY74" s="1"/>
      <c r="AZ74" s="1"/>
      <c r="BA74" s="1"/>
      <c r="BB74" s="1"/>
      <c r="BC74" s="1"/>
      <c r="BD74" s="1"/>
      <c r="BE74" s="1"/>
      <c r="BF74" s="1"/>
      <c r="BG74" s="3"/>
      <c r="BI74" s="20"/>
    </row>
    <row r="75" spans="1:61" ht="9.9499999999999993" customHeight="1">
      <c r="A75" s="23"/>
      <c r="B75" s="10"/>
      <c r="C75" s="15">
        <v>14</v>
      </c>
      <c r="D75" s="15"/>
      <c r="E75" s="15"/>
      <c r="F75" s="15"/>
      <c r="G75" s="15"/>
      <c r="H75" s="15"/>
      <c r="I75" s="15"/>
      <c r="J75" s="15"/>
      <c r="K75" s="15"/>
      <c r="L75" s="15"/>
      <c r="M75" s="15"/>
      <c r="N75" s="15"/>
      <c r="O75" s="15"/>
      <c r="P75" s="15"/>
      <c r="Q75" s="15">
        <v>15</v>
      </c>
      <c r="R75" s="15"/>
      <c r="S75" s="15"/>
      <c r="T75" s="15"/>
      <c r="U75" s="9"/>
      <c r="V75" s="15">
        <v>16</v>
      </c>
      <c r="W75" s="9"/>
      <c r="X75" s="9"/>
      <c r="Y75" s="9"/>
      <c r="Z75" s="9"/>
      <c r="AA75" s="9"/>
      <c r="AB75" s="9"/>
      <c r="AC75" s="1"/>
      <c r="AD75" s="1"/>
      <c r="AE75" s="1"/>
      <c r="AF75" s="1"/>
      <c r="AG75" s="1"/>
      <c r="AH75" s="2"/>
      <c r="AI75" s="1"/>
      <c r="AJ75" s="1"/>
      <c r="AK75" s="1"/>
      <c r="AL75" s="1"/>
      <c r="AM75" s="1"/>
      <c r="AN75" s="1"/>
      <c r="AO75" s="1"/>
      <c r="AP75" s="3"/>
      <c r="AQ75" s="1"/>
      <c r="AR75" s="1"/>
      <c r="AS75" s="1"/>
      <c r="AT75" s="1"/>
      <c r="AU75" s="1"/>
      <c r="AV75" s="1"/>
      <c r="AW75" s="1"/>
      <c r="AX75" s="1"/>
      <c r="AY75" s="1"/>
      <c r="AZ75" s="1"/>
      <c r="BA75" s="1"/>
      <c r="BB75" s="1"/>
      <c r="BC75" s="1"/>
      <c r="BD75" s="1"/>
      <c r="BE75" s="1"/>
      <c r="BF75" s="1"/>
      <c r="BG75" s="3"/>
      <c r="BI75" s="20"/>
    </row>
    <row r="76" spans="1:61" ht="9.9499999999999993" customHeight="1">
      <c r="A76" s="23"/>
      <c r="B76" s="267"/>
      <c r="C76" s="335" t="str">
        <f>HLOOKUP($B$1,e!$A$1:$AB$55,C75,FALSE)</f>
        <v>¿Qué pasos debo tomar para alcanzar esta(s) meta(s)?</v>
      </c>
      <c r="D76" s="336"/>
      <c r="E76" s="336"/>
      <c r="F76" s="336"/>
      <c r="G76" s="336"/>
      <c r="H76" s="336"/>
      <c r="I76" s="336"/>
      <c r="J76" s="336"/>
      <c r="K76" s="336"/>
      <c r="L76" s="336"/>
      <c r="M76" s="336"/>
      <c r="N76" s="336"/>
      <c r="O76" s="337"/>
      <c r="P76" s="335" t="str">
        <f>HLOOKUP($B$1,e!$A$1:$AB$55,Q75,FALSE)</f>
        <v>¿Cuándo se dará este paso?</v>
      </c>
      <c r="Q76" s="336"/>
      <c r="R76" s="336"/>
      <c r="S76" s="336"/>
      <c r="T76" s="337"/>
      <c r="U76" s="335" t="str">
        <f>HLOOKUP($B$1,e!$A$1:$AB$55,V75,FALSE)</f>
        <v>¿A quién puedo pedirle ayuda? ¿Qué materiales necesito?</v>
      </c>
      <c r="V76" s="336"/>
      <c r="W76" s="336"/>
      <c r="X76" s="336"/>
      <c r="Y76" s="336"/>
      <c r="Z76" s="336"/>
      <c r="AA76" s="336"/>
      <c r="AB76" s="337"/>
      <c r="AC76" s="1"/>
      <c r="AD76" s="1"/>
      <c r="AE76" s="1"/>
      <c r="AF76" s="1"/>
      <c r="AG76" s="1"/>
      <c r="AH76" s="2"/>
      <c r="AI76" s="1"/>
      <c r="AJ76" s="1"/>
      <c r="AK76" s="1"/>
      <c r="AL76" s="1"/>
      <c r="AM76" s="1"/>
      <c r="AN76" s="1"/>
      <c r="AO76" s="1"/>
      <c r="AP76" s="3"/>
      <c r="AQ76" s="1"/>
      <c r="AR76" s="1"/>
      <c r="AS76" s="1"/>
      <c r="AT76" s="1"/>
      <c r="AU76" s="1"/>
      <c r="AV76" s="1"/>
      <c r="AW76" s="1"/>
      <c r="AX76" s="1"/>
      <c r="AY76" s="1"/>
      <c r="AZ76" s="1"/>
      <c r="BA76" s="1"/>
      <c r="BB76" s="1"/>
      <c r="BC76" s="1"/>
      <c r="BD76" s="1"/>
      <c r="BE76" s="1"/>
      <c r="BF76" s="1"/>
      <c r="BG76" s="3"/>
      <c r="BI76" s="20"/>
    </row>
    <row r="77" spans="1:61" ht="9.9499999999999993" customHeight="1">
      <c r="A77" s="23"/>
      <c r="B77" s="267"/>
      <c r="C77" s="338"/>
      <c r="D77" s="339"/>
      <c r="E77" s="339"/>
      <c r="F77" s="339"/>
      <c r="G77" s="339"/>
      <c r="H77" s="339"/>
      <c r="I77" s="339"/>
      <c r="J77" s="339"/>
      <c r="K77" s="339"/>
      <c r="L77" s="339"/>
      <c r="M77" s="339"/>
      <c r="N77" s="339"/>
      <c r="O77" s="340"/>
      <c r="P77" s="338"/>
      <c r="Q77" s="339"/>
      <c r="R77" s="339"/>
      <c r="S77" s="339"/>
      <c r="T77" s="340"/>
      <c r="U77" s="338"/>
      <c r="V77" s="339"/>
      <c r="W77" s="339"/>
      <c r="X77" s="339"/>
      <c r="Y77" s="339"/>
      <c r="Z77" s="339"/>
      <c r="AA77" s="339"/>
      <c r="AB77" s="340"/>
      <c r="AC77" s="1"/>
      <c r="AD77" s="1"/>
      <c r="AE77" s="1"/>
      <c r="AF77" s="1"/>
      <c r="AG77" s="1"/>
      <c r="AH77" s="2"/>
      <c r="AI77" s="1"/>
      <c r="AJ77" s="1"/>
      <c r="AK77" s="1"/>
      <c r="AL77" s="1"/>
      <c r="AM77" s="1"/>
      <c r="AN77" s="1"/>
      <c r="AO77" s="1"/>
      <c r="AP77" s="3"/>
      <c r="AQ77" s="1"/>
      <c r="AR77" s="1"/>
      <c r="AS77" s="1"/>
      <c r="AT77" s="1"/>
      <c r="AU77" s="1"/>
      <c r="AV77" s="1"/>
      <c r="AW77" s="1"/>
      <c r="AX77" s="1"/>
      <c r="AY77" s="1"/>
      <c r="AZ77" s="1"/>
      <c r="BA77" s="1"/>
      <c r="BB77" s="1"/>
      <c r="BC77" s="1"/>
      <c r="BD77" s="1"/>
      <c r="BE77" s="1"/>
      <c r="BF77" s="1"/>
      <c r="BG77" s="3"/>
      <c r="BI77" s="20"/>
    </row>
    <row r="78" spans="1:61" ht="9.9499999999999993" customHeight="1">
      <c r="A78" s="23"/>
      <c r="B78" s="267"/>
      <c r="C78" s="338"/>
      <c r="D78" s="339"/>
      <c r="E78" s="339"/>
      <c r="F78" s="339"/>
      <c r="G78" s="339"/>
      <c r="H78" s="339"/>
      <c r="I78" s="339"/>
      <c r="J78" s="339"/>
      <c r="K78" s="339"/>
      <c r="L78" s="339"/>
      <c r="M78" s="339"/>
      <c r="N78" s="339"/>
      <c r="O78" s="340"/>
      <c r="P78" s="338"/>
      <c r="Q78" s="339"/>
      <c r="R78" s="339"/>
      <c r="S78" s="339"/>
      <c r="T78" s="340"/>
      <c r="U78" s="338"/>
      <c r="V78" s="339"/>
      <c r="W78" s="339"/>
      <c r="X78" s="339"/>
      <c r="Y78" s="339"/>
      <c r="Z78" s="339"/>
      <c r="AA78" s="339"/>
      <c r="AB78" s="340"/>
      <c r="AC78" s="1"/>
      <c r="AD78" s="1"/>
      <c r="AE78" s="1"/>
      <c r="AF78" s="1"/>
      <c r="AG78" s="1"/>
      <c r="AH78" s="14"/>
      <c r="AI78" s="250"/>
      <c r="AJ78" s="250"/>
      <c r="AK78" s="250"/>
      <c r="AL78" s="250"/>
      <c r="AM78" s="250"/>
      <c r="AN78" s="250"/>
      <c r="AO78" s="250"/>
      <c r="AP78" s="255"/>
      <c r="AQ78" s="250"/>
      <c r="AR78" s="250"/>
      <c r="AS78" s="250"/>
      <c r="AT78" s="250"/>
      <c r="AU78" s="250"/>
      <c r="AV78" s="250"/>
      <c r="AW78" s="250"/>
      <c r="AX78" s="250"/>
      <c r="AY78" s="250"/>
      <c r="AZ78" s="250"/>
      <c r="BA78" s="250"/>
      <c r="BB78" s="250"/>
      <c r="BC78" s="250"/>
      <c r="BD78" s="250"/>
      <c r="BE78" s="250"/>
      <c r="BF78" s="250"/>
      <c r="BG78" s="255"/>
      <c r="BI78" s="20"/>
    </row>
    <row r="79" spans="1:61" ht="9.9499999999999993" customHeight="1">
      <c r="A79" s="23"/>
      <c r="B79" s="267"/>
      <c r="C79" s="338"/>
      <c r="D79" s="339"/>
      <c r="E79" s="339"/>
      <c r="F79" s="339"/>
      <c r="G79" s="339"/>
      <c r="H79" s="339"/>
      <c r="I79" s="339"/>
      <c r="J79" s="339"/>
      <c r="K79" s="339"/>
      <c r="L79" s="339"/>
      <c r="M79" s="339"/>
      <c r="N79" s="339"/>
      <c r="O79" s="340"/>
      <c r="P79" s="338"/>
      <c r="Q79" s="339"/>
      <c r="R79" s="339"/>
      <c r="S79" s="339"/>
      <c r="T79" s="340"/>
      <c r="U79" s="338"/>
      <c r="V79" s="339"/>
      <c r="W79" s="339"/>
      <c r="X79" s="339"/>
      <c r="Y79" s="339"/>
      <c r="Z79" s="339"/>
      <c r="AA79" s="339"/>
      <c r="AB79" s="340"/>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I79" s="20"/>
    </row>
    <row r="80" spans="1:61" ht="9.9499999999999993" customHeight="1">
      <c r="A80" s="23"/>
      <c r="B80" s="8"/>
      <c r="C80" s="341"/>
      <c r="D80" s="342"/>
      <c r="E80" s="342"/>
      <c r="F80" s="342"/>
      <c r="G80" s="342"/>
      <c r="H80" s="342"/>
      <c r="I80" s="342"/>
      <c r="J80" s="342"/>
      <c r="K80" s="342"/>
      <c r="L80" s="342"/>
      <c r="M80" s="342"/>
      <c r="N80" s="342"/>
      <c r="O80" s="343"/>
      <c r="P80" s="341"/>
      <c r="Q80" s="342"/>
      <c r="R80" s="342"/>
      <c r="S80" s="342"/>
      <c r="T80" s="343"/>
      <c r="U80" s="341"/>
      <c r="V80" s="342"/>
      <c r="W80" s="342"/>
      <c r="X80" s="342"/>
      <c r="Y80" s="342"/>
      <c r="Z80" s="342"/>
      <c r="AA80" s="342"/>
      <c r="AB80" s="343"/>
      <c r="AC80" s="1"/>
      <c r="AD80" s="1"/>
      <c r="AE80" s="1"/>
      <c r="AF80" s="1"/>
      <c r="AG80" s="265">
        <v>32</v>
      </c>
      <c r="AH80" s="251" t="str">
        <f>HLOOKUP($B$1,e!$A$1:$AB$55,AG80,FALSE)</f>
        <v>Información del grupo</v>
      </c>
      <c r="AI80" s="4"/>
      <c r="AJ80" s="4"/>
      <c r="AK80" s="4"/>
      <c r="AL80" s="4"/>
      <c r="AM80" s="4"/>
      <c r="AN80" s="4"/>
      <c r="AO80" s="4"/>
      <c r="AP80" s="27"/>
      <c r="AQ80" s="4"/>
      <c r="AR80" s="4" t="str">
        <f>HLOOKUP($B$1,e!$A$1:$AB$55,BH80,FALSE)</f>
        <v>Notas</v>
      </c>
      <c r="AS80" s="4"/>
      <c r="AT80" s="4"/>
      <c r="AU80" s="4"/>
      <c r="AV80" s="4"/>
      <c r="AW80" s="4"/>
      <c r="AX80" s="4"/>
      <c r="AY80" s="4"/>
      <c r="AZ80" s="4"/>
      <c r="BA80" s="4"/>
      <c r="BB80" s="4"/>
      <c r="BC80" s="4"/>
      <c r="BD80" s="4"/>
      <c r="BE80" s="4"/>
      <c r="BF80" s="4"/>
      <c r="BG80" s="27"/>
      <c r="BH80" s="265">
        <v>33</v>
      </c>
      <c r="BI80" s="20"/>
    </row>
    <row r="81" spans="1:61" ht="9.9499999999999993" customHeight="1">
      <c r="A81" s="23"/>
      <c r="B81" s="8"/>
      <c r="C81" s="253"/>
      <c r="D81" s="5"/>
      <c r="E81" s="5"/>
      <c r="F81" s="5"/>
      <c r="G81" s="5"/>
      <c r="H81" s="5"/>
      <c r="I81" s="5"/>
      <c r="J81" s="5"/>
      <c r="K81" s="5"/>
      <c r="L81" s="5"/>
      <c r="M81" s="5"/>
      <c r="N81" s="5"/>
      <c r="O81" s="6"/>
      <c r="P81" s="253"/>
      <c r="Q81" s="5"/>
      <c r="R81" s="5"/>
      <c r="S81" s="5"/>
      <c r="T81" s="6"/>
      <c r="U81" s="5"/>
      <c r="V81" s="5"/>
      <c r="W81" s="5"/>
      <c r="X81" s="5"/>
      <c r="Y81" s="5"/>
      <c r="Z81" s="5"/>
      <c r="AA81" s="5"/>
      <c r="AB81" s="3"/>
      <c r="AC81" s="1"/>
      <c r="AD81" s="1"/>
      <c r="AE81" s="1"/>
      <c r="AF81" s="1"/>
      <c r="AG81" s="1"/>
      <c r="AH81" s="2"/>
      <c r="AI81" s="1"/>
      <c r="AJ81" s="1"/>
      <c r="AK81" s="1"/>
      <c r="AL81" s="1"/>
      <c r="AM81" s="1"/>
      <c r="AN81" s="1"/>
      <c r="AO81" s="1"/>
      <c r="AP81" s="3"/>
      <c r="AQ81" s="1"/>
      <c r="AR81" s="1"/>
      <c r="AS81" s="1"/>
      <c r="AT81" s="1"/>
      <c r="AU81" s="1"/>
      <c r="AV81" s="1"/>
      <c r="AW81" s="1"/>
      <c r="AX81" s="1"/>
      <c r="AY81" s="1"/>
      <c r="AZ81" s="1"/>
      <c r="BA81" s="1"/>
      <c r="BB81" s="1"/>
      <c r="BC81" s="1"/>
      <c r="BD81" s="1"/>
      <c r="BE81" s="1"/>
      <c r="BF81" s="1"/>
      <c r="BG81" s="3"/>
      <c r="BI81" s="20"/>
    </row>
    <row r="82" spans="1:61" ht="9.9499999999999993" customHeight="1">
      <c r="A82" s="23"/>
      <c r="B82" s="8"/>
      <c r="C82" s="253"/>
      <c r="D82" s="5"/>
      <c r="E82" s="5"/>
      <c r="F82" s="5"/>
      <c r="G82" s="5"/>
      <c r="H82" s="5"/>
      <c r="I82" s="5"/>
      <c r="J82" s="5"/>
      <c r="K82" s="5"/>
      <c r="L82" s="5"/>
      <c r="M82" s="5"/>
      <c r="N82" s="5"/>
      <c r="O82" s="6"/>
      <c r="P82" s="253"/>
      <c r="Q82" s="5"/>
      <c r="R82" s="5"/>
      <c r="S82" s="5"/>
      <c r="T82" s="6"/>
      <c r="U82" s="5"/>
      <c r="V82" s="5"/>
      <c r="W82" s="5"/>
      <c r="X82" s="5"/>
      <c r="Y82" s="5"/>
      <c r="Z82" s="5"/>
      <c r="AA82" s="5"/>
      <c r="AB82" s="3"/>
      <c r="AC82" s="1"/>
      <c r="AD82" s="1"/>
      <c r="AE82" s="1"/>
      <c r="AF82" s="1"/>
      <c r="AG82" s="1"/>
      <c r="AH82" s="2"/>
      <c r="AI82" s="1"/>
      <c r="AJ82" s="1"/>
      <c r="AK82" s="1"/>
      <c r="AL82" s="1"/>
      <c r="AM82" s="1"/>
      <c r="AN82" s="1"/>
      <c r="AO82" s="1"/>
      <c r="AP82" s="3"/>
      <c r="AQ82" s="1"/>
      <c r="AR82" s="1"/>
      <c r="AS82" s="1"/>
      <c r="AT82" s="1"/>
      <c r="AU82" s="1"/>
      <c r="AV82" s="1"/>
      <c r="AW82" s="1"/>
      <c r="AX82" s="1"/>
      <c r="AY82" s="1"/>
      <c r="AZ82" s="1"/>
      <c r="BA82" s="1"/>
      <c r="BB82" s="1"/>
      <c r="BC82" s="1"/>
      <c r="BD82" s="1"/>
      <c r="BE82" s="1"/>
      <c r="BF82" s="1"/>
      <c r="BG82" s="3"/>
      <c r="BI82" s="268"/>
    </row>
    <row r="83" spans="1:61" ht="9.9499999999999993" customHeight="1">
      <c r="A83" s="23"/>
      <c r="B83" s="8"/>
      <c r="C83" s="253"/>
      <c r="D83" s="5"/>
      <c r="E83" s="5"/>
      <c r="F83" s="5"/>
      <c r="G83" s="5"/>
      <c r="H83" s="5"/>
      <c r="I83" s="5"/>
      <c r="J83" s="5"/>
      <c r="K83" s="5"/>
      <c r="L83" s="5"/>
      <c r="M83" s="5"/>
      <c r="N83" s="5"/>
      <c r="O83" s="6"/>
      <c r="P83" s="253"/>
      <c r="Q83" s="5"/>
      <c r="R83" s="5"/>
      <c r="S83" s="5"/>
      <c r="T83" s="6"/>
      <c r="U83" s="5"/>
      <c r="V83" s="5"/>
      <c r="W83" s="5"/>
      <c r="X83" s="5"/>
      <c r="Y83" s="5"/>
      <c r="Z83" s="5"/>
      <c r="AA83" s="5"/>
      <c r="AB83" s="3"/>
      <c r="AC83" s="1"/>
      <c r="AD83" s="1"/>
      <c r="AE83" s="1"/>
      <c r="AF83" s="1"/>
      <c r="AG83" s="1"/>
      <c r="AH83" s="2"/>
      <c r="AI83" s="1"/>
      <c r="AJ83" s="1"/>
      <c r="AK83" s="1"/>
      <c r="AL83" s="1"/>
      <c r="AM83" s="1"/>
      <c r="AN83" s="1"/>
      <c r="AO83" s="1"/>
      <c r="AP83" s="3"/>
      <c r="AQ83" s="1"/>
      <c r="AR83" s="1"/>
      <c r="AS83" s="1"/>
      <c r="AT83" s="1"/>
      <c r="AU83" s="1"/>
      <c r="AV83" s="1"/>
      <c r="AW83" s="1"/>
      <c r="AX83" s="1"/>
      <c r="AY83" s="1"/>
      <c r="AZ83" s="1"/>
      <c r="BA83" s="1"/>
      <c r="BB83" s="1"/>
      <c r="BC83" s="1"/>
      <c r="BD83" s="1"/>
      <c r="BE83" s="1"/>
      <c r="BF83" s="1"/>
      <c r="BG83" s="3"/>
      <c r="BI83" s="268"/>
    </row>
    <row r="84" spans="1:61" ht="9.9499999999999993" customHeight="1">
      <c r="A84" s="23"/>
      <c r="B84" s="8"/>
      <c r="C84" s="253"/>
      <c r="D84" s="5"/>
      <c r="E84" s="5"/>
      <c r="F84" s="5"/>
      <c r="G84" s="5"/>
      <c r="H84" s="5"/>
      <c r="I84" s="5"/>
      <c r="J84" s="5"/>
      <c r="K84" s="5"/>
      <c r="L84" s="5"/>
      <c r="M84" s="5"/>
      <c r="N84" s="5"/>
      <c r="O84" s="6"/>
      <c r="P84" s="253"/>
      <c r="Q84" s="5"/>
      <c r="R84" s="5"/>
      <c r="S84" s="5"/>
      <c r="T84" s="6"/>
      <c r="U84" s="5"/>
      <c r="V84" s="5"/>
      <c r="W84" s="5"/>
      <c r="X84" s="5"/>
      <c r="Y84" s="5"/>
      <c r="Z84" s="5"/>
      <c r="AA84" s="5"/>
      <c r="AB84" s="3"/>
      <c r="AC84" s="1"/>
      <c r="AD84" s="1"/>
      <c r="AE84" s="1"/>
      <c r="AF84" s="1"/>
      <c r="AG84" s="1"/>
      <c r="AH84" s="14"/>
      <c r="AI84" s="250"/>
      <c r="AJ84" s="250"/>
      <c r="AK84" s="250"/>
      <c r="AL84" s="250"/>
      <c r="AM84" s="250"/>
      <c r="AN84" s="250"/>
      <c r="AO84" s="250"/>
      <c r="AP84" s="255"/>
      <c r="AQ84" s="1"/>
      <c r="AR84" s="1"/>
      <c r="AS84" s="1"/>
      <c r="AT84" s="1"/>
      <c r="AU84" s="1"/>
      <c r="AV84" s="1"/>
      <c r="AW84" s="1"/>
      <c r="AX84" s="1"/>
      <c r="AY84" s="1"/>
      <c r="AZ84" s="1"/>
      <c r="BA84" s="1"/>
      <c r="BB84" s="1"/>
      <c r="BC84" s="1"/>
      <c r="BD84" s="1"/>
      <c r="BE84" s="1"/>
      <c r="BF84" s="1"/>
      <c r="BG84" s="3"/>
      <c r="BI84" s="20"/>
    </row>
    <row r="85" spans="1:61" ht="9.9499999999999993" customHeight="1">
      <c r="A85" s="23"/>
      <c r="B85" s="8"/>
      <c r="C85" s="253"/>
      <c r="D85" s="5"/>
      <c r="E85" s="5"/>
      <c r="F85" s="5"/>
      <c r="G85" s="5"/>
      <c r="H85" s="5"/>
      <c r="I85" s="5"/>
      <c r="J85" s="5"/>
      <c r="K85" s="5"/>
      <c r="L85" s="5"/>
      <c r="M85" s="5"/>
      <c r="N85" s="5"/>
      <c r="O85" s="6"/>
      <c r="P85" s="253"/>
      <c r="Q85" s="5"/>
      <c r="R85" s="5"/>
      <c r="S85" s="5"/>
      <c r="T85" s="6"/>
      <c r="U85" s="5"/>
      <c r="V85" s="5"/>
      <c r="W85" s="5"/>
      <c r="X85" s="5"/>
      <c r="Y85" s="5"/>
      <c r="Z85" s="5"/>
      <c r="AA85" s="5"/>
      <c r="AB85" s="3"/>
      <c r="AC85" s="1"/>
      <c r="AD85" s="1"/>
      <c r="AE85" s="1"/>
      <c r="AF85" s="1"/>
      <c r="AG85" s="1"/>
      <c r="AH85" s="13"/>
      <c r="AI85" s="266"/>
      <c r="AJ85" s="266"/>
      <c r="AK85" s="266"/>
      <c r="AL85" s="266"/>
      <c r="AM85" s="266"/>
      <c r="AN85" s="266"/>
      <c r="AO85" s="266"/>
      <c r="AP85" s="252"/>
      <c r="AQ85" s="1"/>
      <c r="AR85" s="1"/>
      <c r="AS85" s="1"/>
      <c r="AT85" s="1"/>
      <c r="AU85" s="1"/>
      <c r="AV85" s="1"/>
      <c r="AW85" s="1"/>
      <c r="AX85" s="1"/>
      <c r="AY85" s="1"/>
      <c r="AZ85" s="1"/>
      <c r="BA85" s="1"/>
      <c r="BB85" s="1"/>
      <c r="BC85" s="1"/>
      <c r="BD85" s="1"/>
      <c r="BE85" s="1"/>
      <c r="BF85" s="1"/>
      <c r="BG85" s="3"/>
      <c r="BI85" s="20"/>
    </row>
    <row r="86" spans="1:61" ht="9.9499999999999993" customHeight="1">
      <c r="A86" s="23"/>
      <c r="B86" s="8"/>
      <c r="C86" s="253"/>
      <c r="D86" s="5"/>
      <c r="E86" s="5"/>
      <c r="F86" s="5"/>
      <c r="G86" s="5"/>
      <c r="H86" s="5"/>
      <c r="I86" s="5"/>
      <c r="J86" s="5"/>
      <c r="K86" s="5"/>
      <c r="L86" s="5"/>
      <c r="M86" s="5"/>
      <c r="N86" s="5"/>
      <c r="O86" s="6"/>
      <c r="P86" s="253"/>
      <c r="Q86" s="5"/>
      <c r="R86" s="5"/>
      <c r="S86" s="5"/>
      <c r="T86" s="6"/>
      <c r="U86" s="5"/>
      <c r="V86" s="5"/>
      <c r="W86" s="5"/>
      <c r="X86" s="5"/>
      <c r="Y86" s="5"/>
      <c r="Z86" s="5"/>
      <c r="AA86" s="5"/>
      <c r="AB86" s="3"/>
      <c r="AC86" s="1"/>
      <c r="AD86" s="1"/>
      <c r="AE86" s="1"/>
      <c r="AF86" s="1"/>
      <c r="AG86" s="1"/>
      <c r="AH86" s="2"/>
      <c r="AI86" s="1"/>
      <c r="AJ86" s="1"/>
      <c r="AK86" s="1"/>
      <c r="AL86" s="1"/>
      <c r="AM86" s="1"/>
      <c r="AN86" s="1"/>
      <c r="AO86" s="1"/>
      <c r="AP86" s="3"/>
      <c r="AQ86" s="1"/>
      <c r="AR86" s="1"/>
      <c r="AS86" s="1"/>
      <c r="AT86" s="1"/>
      <c r="AU86" s="1"/>
      <c r="AV86" s="1"/>
      <c r="AW86" s="1"/>
      <c r="AX86" s="1"/>
      <c r="AY86" s="1"/>
      <c r="AZ86" s="1"/>
      <c r="BA86" s="1"/>
      <c r="BB86" s="1"/>
      <c r="BC86" s="1"/>
      <c r="BD86" s="1"/>
      <c r="BE86" s="1"/>
      <c r="BF86" s="1"/>
      <c r="BG86" s="3"/>
      <c r="BI86" s="20"/>
    </row>
    <row r="87" spans="1:61" ht="9.9499999999999993" customHeight="1">
      <c r="A87" s="23"/>
      <c r="B87" s="8"/>
      <c r="C87" s="253"/>
      <c r="D87" s="5"/>
      <c r="E87" s="5"/>
      <c r="F87" s="5"/>
      <c r="G87" s="5"/>
      <c r="H87" s="5"/>
      <c r="I87" s="5"/>
      <c r="J87" s="5"/>
      <c r="K87" s="5"/>
      <c r="L87" s="5"/>
      <c r="M87" s="5"/>
      <c r="N87" s="5"/>
      <c r="O87" s="6"/>
      <c r="P87" s="253"/>
      <c r="Q87" s="5"/>
      <c r="R87" s="5"/>
      <c r="S87" s="5"/>
      <c r="T87" s="6"/>
      <c r="U87" s="5"/>
      <c r="V87" s="5"/>
      <c r="W87" s="5"/>
      <c r="X87" s="5"/>
      <c r="Y87" s="5"/>
      <c r="Z87" s="5"/>
      <c r="AA87" s="5"/>
      <c r="AB87" s="3"/>
      <c r="AC87" s="1"/>
      <c r="AD87" s="1"/>
      <c r="AE87" s="1"/>
      <c r="AF87" s="1"/>
      <c r="AG87" s="1"/>
      <c r="AH87" s="2"/>
      <c r="AI87" s="1"/>
      <c r="AJ87" s="1"/>
      <c r="AK87" s="1"/>
      <c r="AL87" s="1"/>
      <c r="AM87" s="1"/>
      <c r="AN87" s="1"/>
      <c r="AO87" s="1"/>
      <c r="AP87" s="3"/>
      <c r="AQ87" s="1"/>
      <c r="AR87" s="1"/>
      <c r="AS87" s="1"/>
      <c r="AT87" s="1"/>
      <c r="AU87" s="1"/>
      <c r="AV87" s="1"/>
      <c r="AW87" s="1"/>
      <c r="AX87" s="1"/>
      <c r="AY87" s="1"/>
      <c r="AZ87" s="1"/>
      <c r="BA87" s="1"/>
      <c r="BB87" s="1"/>
      <c r="BC87" s="1"/>
      <c r="BD87" s="1"/>
      <c r="BE87" s="1"/>
      <c r="BF87" s="1"/>
      <c r="BG87" s="3"/>
      <c r="BI87" s="20"/>
    </row>
    <row r="88" spans="1:61" ht="9.9499999999999993" customHeight="1">
      <c r="A88" s="23"/>
      <c r="B88" s="8"/>
      <c r="C88" s="253"/>
      <c r="D88" s="5"/>
      <c r="E88" s="5"/>
      <c r="F88" s="5"/>
      <c r="G88" s="5"/>
      <c r="H88" s="5"/>
      <c r="I88" s="5"/>
      <c r="J88" s="5"/>
      <c r="K88" s="5"/>
      <c r="L88" s="5"/>
      <c r="M88" s="5"/>
      <c r="N88" s="5"/>
      <c r="O88" s="6"/>
      <c r="P88" s="253"/>
      <c r="Q88" s="5"/>
      <c r="R88" s="5"/>
      <c r="S88" s="5"/>
      <c r="T88" s="6"/>
      <c r="U88" s="5"/>
      <c r="V88" s="5"/>
      <c r="W88" s="5"/>
      <c r="X88" s="5"/>
      <c r="Y88" s="5"/>
      <c r="Z88" s="5"/>
      <c r="AA88" s="5"/>
      <c r="AB88" s="3"/>
      <c r="AC88" s="1"/>
      <c r="AD88" s="1"/>
      <c r="AE88" s="1"/>
      <c r="AF88" s="1"/>
      <c r="AG88" s="1"/>
      <c r="AH88" s="2"/>
      <c r="AI88" s="1"/>
      <c r="AJ88" s="1"/>
      <c r="AK88" s="1"/>
      <c r="AL88" s="1"/>
      <c r="AM88" s="1"/>
      <c r="AN88" s="1"/>
      <c r="AO88" s="1"/>
      <c r="AP88" s="3"/>
      <c r="AQ88" s="1"/>
      <c r="AR88" s="1"/>
      <c r="AS88" s="1"/>
      <c r="AT88" s="1"/>
      <c r="AU88" s="1"/>
      <c r="AV88" s="1"/>
      <c r="AW88" s="1"/>
      <c r="AX88" s="1"/>
      <c r="AY88" s="1"/>
      <c r="AZ88" s="1"/>
      <c r="BA88" s="1"/>
      <c r="BB88" s="1"/>
      <c r="BC88" s="1"/>
      <c r="BD88" s="1"/>
      <c r="BE88" s="1"/>
      <c r="BF88" s="1"/>
      <c r="BG88" s="3"/>
      <c r="BI88" s="20"/>
    </row>
    <row r="89" spans="1:61" ht="9.9499999999999993" customHeight="1">
      <c r="A89" s="23"/>
      <c r="B89" s="8"/>
      <c r="C89" s="253"/>
      <c r="D89" s="5"/>
      <c r="E89" s="5"/>
      <c r="F89" s="5"/>
      <c r="G89" s="5"/>
      <c r="H89" s="5"/>
      <c r="I89" s="5"/>
      <c r="J89" s="5"/>
      <c r="K89" s="5"/>
      <c r="L89" s="5"/>
      <c r="M89" s="5"/>
      <c r="N89" s="5"/>
      <c r="O89" s="6"/>
      <c r="P89" s="253"/>
      <c r="Q89" s="5"/>
      <c r="R89" s="5"/>
      <c r="S89" s="5"/>
      <c r="T89" s="6"/>
      <c r="U89" s="5"/>
      <c r="V89" s="5"/>
      <c r="W89" s="5"/>
      <c r="X89" s="5"/>
      <c r="Y89" s="5"/>
      <c r="Z89" s="5"/>
      <c r="AA89" s="5"/>
      <c r="AB89" s="3"/>
      <c r="AC89" s="1"/>
      <c r="AD89" s="1"/>
      <c r="AE89" s="1"/>
      <c r="AF89" s="1"/>
      <c r="AG89" s="1"/>
      <c r="AH89" s="2"/>
      <c r="AI89" s="1"/>
      <c r="AJ89" s="1"/>
      <c r="AK89" s="1"/>
      <c r="AL89" s="1"/>
      <c r="AM89" s="1"/>
      <c r="AN89" s="1"/>
      <c r="AO89" s="1"/>
      <c r="AP89" s="3"/>
      <c r="AQ89" s="1"/>
      <c r="AR89" s="1"/>
      <c r="AS89" s="1"/>
      <c r="AT89" s="1"/>
      <c r="AU89" s="1"/>
      <c r="AV89" s="1"/>
      <c r="AW89" s="1"/>
      <c r="AX89" s="1"/>
      <c r="AY89" s="1"/>
      <c r="AZ89" s="1"/>
      <c r="BA89" s="1"/>
      <c r="BB89" s="1"/>
      <c r="BC89" s="1"/>
      <c r="BD89" s="1"/>
      <c r="BE89" s="1"/>
      <c r="BF89" s="1"/>
      <c r="BG89" s="3"/>
      <c r="BI89" s="20"/>
    </row>
    <row r="90" spans="1:61" ht="9.9499999999999993" customHeight="1">
      <c r="A90" s="23"/>
      <c r="B90" s="8"/>
      <c r="C90" s="253"/>
      <c r="D90" s="5"/>
      <c r="E90" s="5"/>
      <c r="F90" s="5"/>
      <c r="G90" s="5"/>
      <c r="H90" s="5"/>
      <c r="I90" s="5"/>
      <c r="J90" s="5"/>
      <c r="K90" s="5"/>
      <c r="L90" s="5"/>
      <c r="M90" s="5"/>
      <c r="N90" s="5"/>
      <c r="O90" s="6"/>
      <c r="P90" s="253"/>
      <c r="Q90" s="5"/>
      <c r="R90" s="5"/>
      <c r="S90" s="5"/>
      <c r="T90" s="6"/>
      <c r="U90" s="5"/>
      <c r="V90" s="5"/>
      <c r="W90" s="5"/>
      <c r="X90" s="5"/>
      <c r="Y90" s="5"/>
      <c r="Z90" s="5"/>
      <c r="AA90" s="5"/>
      <c r="AB90" s="3"/>
      <c r="AC90" s="1"/>
      <c r="AD90" s="1"/>
      <c r="AE90" s="1"/>
      <c r="AF90" s="1"/>
      <c r="AG90" s="1"/>
      <c r="AH90" s="2"/>
      <c r="AI90" s="1"/>
      <c r="AJ90" s="1"/>
      <c r="AK90" s="1"/>
      <c r="AL90" s="1"/>
      <c r="AM90" s="1"/>
      <c r="AN90" s="1"/>
      <c r="AO90" s="1"/>
      <c r="AP90" s="3"/>
      <c r="AQ90" s="1"/>
      <c r="AR90" s="1"/>
      <c r="AS90" s="1"/>
      <c r="AT90" s="1"/>
      <c r="AU90" s="1"/>
      <c r="AV90" s="1"/>
      <c r="AW90" s="1"/>
      <c r="AX90" s="1"/>
      <c r="AY90" s="1"/>
      <c r="AZ90" s="1"/>
      <c r="BA90" s="1"/>
      <c r="BB90" s="1"/>
      <c r="BC90" s="1"/>
      <c r="BD90" s="1"/>
      <c r="BE90" s="1"/>
      <c r="BF90" s="1"/>
      <c r="BG90" s="3"/>
      <c r="BI90" s="20"/>
    </row>
    <row r="91" spans="1:61" ht="9.9499999999999993" customHeight="1">
      <c r="A91" s="23"/>
      <c r="B91" s="8"/>
      <c r="C91" s="253"/>
      <c r="D91" s="5"/>
      <c r="E91" s="5"/>
      <c r="F91" s="5"/>
      <c r="G91" s="5"/>
      <c r="H91" s="5"/>
      <c r="I91" s="5"/>
      <c r="J91" s="5"/>
      <c r="K91" s="5"/>
      <c r="L91" s="5"/>
      <c r="M91" s="5"/>
      <c r="N91" s="5"/>
      <c r="O91" s="6"/>
      <c r="P91" s="253"/>
      <c r="Q91" s="5"/>
      <c r="R91" s="5"/>
      <c r="S91" s="5"/>
      <c r="T91" s="6"/>
      <c r="U91" s="5"/>
      <c r="V91" s="5"/>
      <c r="W91" s="5"/>
      <c r="X91" s="5"/>
      <c r="Y91" s="5"/>
      <c r="Z91" s="5"/>
      <c r="AA91" s="5"/>
      <c r="AB91" s="3"/>
      <c r="AC91" s="1"/>
      <c r="AD91" s="1"/>
      <c r="AE91" s="1"/>
      <c r="AF91" s="1"/>
      <c r="AG91" s="1"/>
      <c r="AH91" s="2"/>
      <c r="AI91" s="1"/>
      <c r="AJ91" s="1"/>
      <c r="AK91" s="1"/>
      <c r="AL91" s="1"/>
      <c r="AM91" s="1"/>
      <c r="AN91" s="1"/>
      <c r="AO91" s="1"/>
      <c r="AP91" s="3"/>
      <c r="AQ91" s="1"/>
      <c r="AR91" s="1"/>
      <c r="AS91" s="1"/>
      <c r="AT91" s="1"/>
      <c r="AU91" s="1"/>
      <c r="AV91" s="1"/>
      <c r="AW91" s="1"/>
      <c r="AX91" s="1"/>
      <c r="AY91" s="1"/>
      <c r="AZ91" s="1"/>
      <c r="BA91" s="1"/>
      <c r="BB91" s="1"/>
      <c r="BC91" s="1"/>
      <c r="BD91" s="1"/>
      <c r="BE91" s="1"/>
      <c r="BF91" s="1"/>
      <c r="BG91" s="3"/>
      <c r="BI91" s="20"/>
    </row>
    <row r="92" spans="1:61" ht="9.9499999999999993" customHeight="1">
      <c r="A92" s="23"/>
      <c r="B92" s="8"/>
      <c r="C92" s="253"/>
      <c r="D92" s="5"/>
      <c r="E92" s="5"/>
      <c r="F92" s="5"/>
      <c r="G92" s="5"/>
      <c r="H92" s="5"/>
      <c r="I92" s="5"/>
      <c r="J92" s="5"/>
      <c r="K92" s="5"/>
      <c r="L92" s="5"/>
      <c r="M92" s="5"/>
      <c r="N92" s="5"/>
      <c r="O92" s="6"/>
      <c r="P92" s="253"/>
      <c r="Q92" s="5"/>
      <c r="R92" s="5"/>
      <c r="S92" s="5"/>
      <c r="T92" s="6"/>
      <c r="U92" s="5"/>
      <c r="V92" s="5"/>
      <c r="W92" s="5"/>
      <c r="X92" s="5"/>
      <c r="Y92" s="5"/>
      <c r="Z92" s="5"/>
      <c r="AA92" s="5"/>
      <c r="AB92" s="3"/>
      <c r="AC92" s="1"/>
      <c r="AD92" s="1"/>
      <c r="AE92" s="1"/>
      <c r="AF92" s="1"/>
      <c r="AG92" s="1"/>
      <c r="AH92" s="2"/>
      <c r="AI92" s="1"/>
      <c r="AJ92" s="1"/>
      <c r="AK92" s="1"/>
      <c r="AL92" s="1"/>
      <c r="AM92" s="1"/>
      <c r="AN92" s="1"/>
      <c r="AO92" s="1"/>
      <c r="AP92" s="3"/>
      <c r="AQ92" s="1"/>
      <c r="AR92" s="1"/>
      <c r="AS92" s="1"/>
      <c r="AT92" s="1"/>
      <c r="AU92" s="1"/>
      <c r="AV92" s="1"/>
      <c r="AW92" s="1"/>
      <c r="AX92" s="1"/>
      <c r="AY92" s="1"/>
      <c r="AZ92" s="1"/>
      <c r="BA92" s="1"/>
      <c r="BB92" s="1"/>
      <c r="BC92" s="1"/>
      <c r="BD92" s="1"/>
      <c r="BE92" s="1"/>
      <c r="BF92" s="1"/>
      <c r="BG92" s="3"/>
      <c r="BI92" s="20"/>
    </row>
    <row r="93" spans="1:61" ht="9.9499999999999993" customHeight="1">
      <c r="A93" s="23"/>
      <c r="B93" s="8"/>
      <c r="C93" s="253"/>
      <c r="D93" s="5"/>
      <c r="E93" s="5"/>
      <c r="F93" s="5"/>
      <c r="G93" s="5"/>
      <c r="H93" s="5"/>
      <c r="I93" s="5"/>
      <c r="J93" s="5"/>
      <c r="K93" s="5"/>
      <c r="L93" s="5"/>
      <c r="M93" s="5"/>
      <c r="N93" s="5"/>
      <c r="O93" s="6"/>
      <c r="P93" s="253"/>
      <c r="Q93" s="5"/>
      <c r="R93" s="5"/>
      <c r="S93" s="5"/>
      <c r="T93" s="6"/>
      <c r="U93" s="5"/>
      <c r="V93" s="5"/>
      <c r="W93" s="5"/>
      <c r="X93" s="5"/>
      <c r="Y93" s="5"/>
      <c r="Z93" s="5"/>
      <c r="AA93" s="5"/>
      <c r="AB93" s="3"/>
      <c r="AC93" s="1"/>
      <c r="AD93" s="1"/>
      <c r="AE93" s="1"/>
      <c r="AF93" s="1"/>
      <c r="AG93" s="1"/>
      <c r="AH93" s="2"/>
      <c r="AI93" s="1"/>
      <c r="AJ93" s="1"/>
      <c r="AK93" s="1"/>
      <c r="AL93" s="1"/>
      <c r="AM93" s="1"/>
      <c r="AN93" s="1"/>
      <c r="AO93" s="1"/>
      <c r="AP93" s="3"/>
      <c r="AQ93" s="1"/>
      <c r="AR93" s="1"/>
      <c r="AS93" s="1"/>
      <c r="AT93" s="1"/>
      <c r="AU93" s="1"/>
      <c r="AV93" s="1"/>
      <c r="AW93" s="1"/>
      <c r="AX93" s="1"/>
      <c r="AY93" s="1"/>
      <c r="AZ93" s="1"/>
      <c r="BA93" s="1"/>
      <c r="BB93" s="1"/>
      <c r="BC93" s="1"/>
      <c r="BD93" s="1"/>
      <c r="BE93" s="1"/>
      <c r="BF93" s="1"/>
      <c r="BG93" s="3"/>
      <c r="BI93" s="20"/>
    </row>
    <row r="94" spans="1:61" ht="9.9499999999999993" customHeight="1">
      <c r="A94" s="23"/>
      <c r="B94" s="8"/>
      <c r="C94" s="253"/>
      <c r="D94" s="5"/>
      <c r="E94" s="5"/>
      <c r="F94" s="5"/>
      <c r="G94" s="5"/>
      <c r="H94" s="5"/>
      <c r="I94" s="5"/>
      <c r="J94" s="5"/>
      <c r="K94" s="5"/>
      <c r="L94" s="5"/>
      <c r="M94" s="5"/>
      <c r="N94" s="5"/>
      <c r="O94" s="6"/>
      <c r="P94" s="253"/>
      <c r="Q94" s="5"/>
      <c r="R94" s="5"/>
      <c r="S94" s="5"/>
      <c r="T94" s="6"/>
      <c r="U94" s="5"/>
      <c r="V94" s="5"/>
      <c r="W94" s="5"/>
      <c r="X94" s="5"/>
      <c r="Y94" s="5"/>
      <c r="Z94" s="5"/>
      <c r="AA94" s="5"/>
      <c r="AB94" s="3"/>
      <c r="AC94" s="1"/>
      <c r="AD94" s="1"/>
      <c r="AE94" s="1"/>
      <c r="AF94" s="1"/>
      <c r="AG94" s="1"/>
      <c r="AH94" s="2"/>
      <c r="AI94" s="1"/>
      <c r="AJ94" s="1"/>
      <c r="AK94" s="1"/>
      <c r="AL94" s="1"/>
      <c r="AM94" s="1"/>
      <c r="AN94" s="1"/>
      <c r="AO94" s="1"/>
      <c r="AP94" s="3"/>
      <c r="AQ94" s="1"/>
      <c r="AR94" s="1"/>
      <c r="AS94" s="1"/>
      <c r="AT94" s="1"/>
      <c r="AU94" s="1"/>
      <c r="AV94" s="1"/>
      <c r="AW94" s="1"/>
      <c r="AX94" s="1"/>
      <c r="AY94" s="1"/>
      <c r="AZ94" s="1"/>
      <c r="BA94" s="1"/>
      <c r="BB94" s="1"/>
      <c r="BC94" s="1"/>
      <c r="BD94" s="1"/>
      <c r="BE94" s="1"/>
      <c r="BF94" s="1"/>
      <c r="BG94" s="3"/>
      <c r="BI94" s="20"/>
    </row>
    <row r="95" spans="1:61" ht="9.9499999999999993" customHeight="1">
      <c r="A95" s="23"/>
      <c r="B95" s="8"/>
      <c r="C95" s="253"/>
      <c r="D95" s="5"/>
      <c r="E95" s="5"/>
      <c r="F95" s="5"/>
      <c r="G95" s="5"/>
      <c r="H95" s="5"/>
      <c r="I95" s="5"/>
      <c r="J95" s="5"/>
      <c r="K95" s="5"/>
      <c r="L95" s="5"/>
      <c r="M95" s="5"/>
      <c r="N95" s="5"/>
      <c r="O95" s="6"/>
      <c r="P95" s="253"/>
      <c r="Q95" s="5"/>
      <c r="R95" s="5"/>
      <c r="S95" s="5"/>
      <c r="T95" s="6"/>
      <c r="U95" s="5"/>
      <c r="V95" s="5"/>
      <c r="W95" s="5"/>
      <c r="X95" s="5"/>
      <c r="Y95" s="5"/>
      <c r="Z95" s="5"/>
      <c r="AA95" s="5"/>
      <c r="AB95" s="3"/>
      <c r="AC95" s="1"/>
      <c r="AD95" s="1"/>
      <c r="AE95" s="1"/>
      <c r="AF95" s="1"/>
      <c r="AG95" s="1"/>
      <c r="AH95" s="2"/>
      <c r="AI95" s="1"/>
      <c r="AJ95" s="1"/>
      <c r="AK95" s="1"/>
      <c r="AL95" s="1"/>
      <c r="AM95" s="1"/>
      <c r="AN95" s="1"/>
      <c r="AO95" s="1"/>
      <c r="AP95" s="3"/>
      <c r="AQ95" s="1"/>
      <c r="AR95" s="1"/>
      <c r="AS95" s="1"/>
      <c r="AT95" s="1"/>
      <c r="AU95" s="1"/>
      <c r="AV95" s="1"/>
      <c r="AW95" s="1"/>
      <c r="AX95" s="1"/>
      <c r="AY95" s="1"/>
      <c r="AZ95" s="1"/>
      <c r="BA95" s="1"/>
      <c r="BB95" s="1"/>
      <c r="BC95" s="1"/>
      <c r="BD95" s="1"/>
      <c r="BE95" s="1"/>
      <c r="BF95" s="1"/>
      <c r="BG95" s="3"/>
      <c r="BI95" s="20"/>
    </row>
    <row r="96" spans="1:61" ht="9.9499999999999993" customHeight="1">
      <c r="A96" s="23"/>
      <c r="B96" s="8"/>
      <c r="C96" s="253"/>
      <c r="D96" s="5"/>
      <c r="E96" s="5"/>
      <c r="F96" s="5"/>
      <c r="G96" s="5"/>
      <c r="H96" s="5"/>
      <c r="I96" s="5"/>
      <c r="J96" s="5"/>
      <c r="K96" s="5"/>
      <c r="L96" s="5"/>
      <c r="M96" s="5"/>
      <c r="N96" s="5"/>
      <c r="O96" s="6"/>
      <c r="P96" s="253"/>
      <c r="Q96" s="5"/>
      <c r="R96" s="5"/>
      <c r="S96" s="5"/>
      <c r="T96" s="6"/>
      <c r="U96" s="5"/>
      <c r="V96" s="5"/>
      <c r="W96" s="5"/>
      <c r="X96" s="5"/>
      <c r="Y96" s="5"/>
      <c r="Z96" s="5"/>
      <c r="AA96" s="5"/>
      <c r="AB96" s="3"/>
      <c r="AC96" s="1"/>
      <c r="AD96" s="1"/>
      <c r="AE96" s="1"/>
      <c r="AF96" s="1"/>
      <c r="AG96" s="1"/>
      <c r="AH96" s="14"/>
      <c r="AI96" s="250"/>
      <c r="AJ96" s="250"/>
      <c r="AK96" s="250"/>
      <c r="AL96" s="250"/>
      <c r="AM96" s="250"/>
      <c r="AN96" s="250"/>
      <c r="AO96" s="250"/>
      <c r="AP96" s="255"/>
      <c r="AQ96" s="250"/>
      <c r="AR96" s="250"/>
      <c r="AS96" s="250"/>
      <c r="AT96" s="250"/>
      <c r="AU96" s="250"/>
      <c r="AV96" s="250"/>
      <c r="AW96" s="250"/>
      <c r="AX96" s="250"/>
      <c r="AY96" s="250"/>
      <c r="AZ96" s="250"/>
      <c r="BA96" s="250"/>
      <c r="BB96" s="250"/>
      <c r="BC96" s="250"/>
      <c r="BD96" s="250"/>
      <c r="BE96" s="250"/>
      <c r="BF96" s="250"/>
      <c r="BG96" s="255"/>
      <c r="BI96" s="20"/>
    </row>
    <row r="97" spans="1:61" ht="9.9499999999999993" customHeight="1">
      <c r="A97" s="23"/>
      <c r="B97" s="8"/>
      <c r="C97" s="253"/>
      <c r="D97" s="5"/>
      <c r="E97" s="5"/>
      <c r="F97" s="5"/>
      <c r="G97" s="5"/>
      <c r="H97" s="5"/>
      <c r="I97" s="5"/>
      <c r="J97" s="5"/>
      <c r="K97" s="5"/>
      <c r="L97" s="5"/>
      <c r="M97" s="5"/>
      <c r="N97" s="5"/>
      <c r="O97" s="6"/>
      <c r="P97" s="253"/>
      <c r="Q97" s="5"/>
      <c r="R97" s="5"/>
      <c r="S97" s="5"/>
      <c r="T97" s="6"/>
      <c r="U97" s="5"/>
      <c r="V97" s="5"/>
      <c r="W97" s="5"/>
      <c r="X97" s="5"/>
      <c r="Y97" s="5"/>
      <c r="Z97" s="5"/>
      <c r="AA97" s="5"/>
      <c r="AB97" s="3"/>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I97" s="20"/>
    </row>
    <row r="98" spans="1:61" ht="9.9499999999999993" customHeight="1">
      <c r="A98" s="23"/>
      <c r="B98" s="8"/>
      <c r="C98" s="253"/>
      <c r="D98" s="5"/>
      <c r="E98" s="5"/>
      <c r="F98" s="5"/>
      <c r="G98" s="5"/>
      <c r="H98" s="5"/>
      <c r="I98" s="5"/>
      <c r="J98" s="5"/>
      <c r="K98" s="5"/>
      <c r="L98" s="5"/>
      <c r="M98" s="5"/>
      <c r="N98" s="5"/>
      <c r="O98" s="6"/>
      <c r="P98" s="253"/>
      <c r="Q98" s="5"/>
      <c r="R98" s="5"/>
      <c r="S98" s="5"/>
      <c r="T98" s="6"/>
      <c r="U98" s="5"/>
      <c r="V98" s="5"/>
      <c r="W98" s="5"/>
      <c r="X98" s="5"/>
      <c r="Y98" s="5"/>
      <c r="Z98" s="5"/>
      <c r="AA98" s="5"/>
      <c r="AB98" s="3"/>
      <c r="AC98" s="1"/>
      <c r="AD98" s="1"/>
      <c r="AE98" s="1"/>
      <c r="AF98" s="1"/>
      <c r="AG98" s="265">
        <v>32</v>
      </c>
      <c r="AH98" s="251" t="str">
        <f>HLOOKUP($B$1,e!$A$1:$AB$55,AG98,FALSE)</f>
        <v>Información del grupo</v>
      </c>
      <c r="AI98" s="4"/>
      <c r="AJ98" s="4"/>
      <c r="AK98" s="4"/>
      <c r="AL98" s="4"/>
      <c r="AM98" s="4"/>
      <c r="AN98" s="4"/>
      <c r="AO98" s="4"/>
      <c r="AP98" s="27"/>
      <c r="AQ98" s="4"/>
      <c r="AR98" s="4" t="str">
        <f>HLOOKUP($B$1,e!$A$1:$AB$55,BH98,FALSE)</f>
        <v>Notas</v>
      </c>
      <c r="AS98" s="4"/>
      <c r="AT98" s="4"/>
      <c r="AU98" s="4"/>
      <c r="AV98" s="4"/>
      <c r="AW98" s="4"/>
      <c r="AX98" s="4"/>
      <c r="AY98" s="4"/>
      <c r="AZ98" s="4"/>
      <c r="BA98" s="4"/>
      <c r="BB98" s="4"/>
      <c r="BC98" s="4"/>
      <c r="BD98" s="4"/>
      <c r="BE98" s="4"/>
      <c r="BF98" s="4"/>
      <c r="BG98" s="27"/>
      <c r="BH98" s="265">
        <v>33</v>
      </c>
      <c r="BI98" s="20"/>
    </row>
    <row r="99" spans="1:61" ht="9.9499999999999993" customHeight="1">
      <c r="A99" s="23"/>
      <c r="B99" s="8"/>
      <c r="C99" s="253"/>
      <c r="D99" s="5"/>
      <c r="E99" s="5"/>
      <c r="F99" s="5"/>
      <c r="G99" s="5"/>
      <c r="H99" s="5"/>
      <c r="I99" s="5"/>
      <c r="J99" s="5"/>
      <c r="K99" s="5"/>
      <c r="L99" s="5"/>
      <c r="M99" s="5"/>
      <c r="N99" s="5"/>
      <c r="O99" s="6"/>
      <c r="P99" s="253"/>
      <c r="Q99" s="5"/>
      <c r="R99" s="5"/>
      <c r="S99" s="5"/>
      <c r="T99" s="6"/>
      <c r="U99" s="5"/>
      <c r="V99" s="5"/>
      <c r="W99" s="5"/>
      <c r="X99" s="5"/>
      <c r="Y99" s="5"/>
      <c r="Z99" s="5"/>
      <c r="AA99" s="5"/>
      <c r="AB99" s="3"/>
      <c r="AC99" s="1"/>
      <c r="AD99" s="1"/>
      <c r="AE99" s="1"/>
      <c r="AF99" s="1"/>
      <c r="AG99" s="1"/>
      <c r="AH99" s="2"/>
      <c r="AI99" s="1"/>
      <c r="AJ99" s="1"/>
      <c r="AK99" s="1"/>
      <c r="AL99" s="1"/>
      <c r="AM99" s="1"/>
      <c r="AN99" s="1"/>
      <c r="AO99" s="1"/>
      <c r="AP99" s="3"/>
      <c r="AQ99" s="1"/>
      <c r="AR99" s="1"/>
      <c r="AS99" s="1"/>
      <c r="AT99" s="1"/>
      <c r="AU99" s="1"/>
      <c r="AV99" s="1"/>
      <c r="AW99" s="1"/>
      <c r="AX99" s="1"/>
      <c r="AY99" s="1"/>
      <c r="AZ99" s="1"/>
      <c r="BA99" s="1"/>
      <c r="BB99" s="1"/>
      <c r="BC99" s="1"/>
      <c r="BD99" s="1"/>
      <c r="BE99" s="1"/>
      <c r="BF99" s="1"/>
      <c r="BG99" s="3"/>
      <c r="BI99" s="20"/>
    </row>
    <row r="100" spans="1:61" ht="9.9499999999999993" customHeight="1">
      <c r="A100" s="23"/>
      <c r="B100" s="8"/>
      <c r="C100" s="253"/>
      <c r="D100" s="5"/>
      <c r="E100" s="5"/>
      <c r="F100" s="5"/>
      <c r="G100" s="5"/>
      <c r="H100" s="5"/>
      <c r="I100" s="5"/>
      <c r="J100" s="5"/>
      <c r="K100" s="5"/>
      <c r="L100" s="5"/>
      <c r="M100" s="5"/>
      <c r="N100" s="5"/>
      <c r="O100" s="6"/>
      <c r="P100" s="253"/>
      <c r="Q100" s="5"/>
      <c r="R100" s="5"/>
      <c r="S100" s="5"/>
      <c r="T100" s="6"/>
      <c r="U100" s="5"/>
      <c r="V100" s="5"/>
      <c r="W100" s="5"/>
      <c r="X100" s="5"/>
      <c r="Y100" s="5"/>
      <c r="Z100" s="5"/>
      <c r="AA100" s="5"/>
      <c r="AB100" s="3"/>
      <c r="AC100" s="1"/>
      <c r="AD100" s="1"/>
      <c r="AE100" s="1"/>
      <c r="AF100" s="1"/>
      <c r="AG100" s="1"/>
      <c r="AH100" s="2"/>
      <c r="AI100" s="1"/>
      <c r="AJ100" s="1"/>
      <c r="AK100" s="1"/>
      <c r="AL100" s="1"/>
      <c r="AM100" s="1"/>
      <c r="AN100" s="1"/>
      <c r="AO100" s="1"/>
      <c r="AP100" s="3"/>
      <c r="AQ100" s="1"/>
      <c r="AR100" s="1"/>
      <c r="AS100" s="1"/>
      <c r="AT100" s="1"/>
      <c r="AU100" s="1"/>
      <c r="AV100" s="1"/>
      <c r="AW100" s="1"/>
      <c r="AX100" s="1"/>
      <c r="AY100" s="1"/>
      <c r="AZ100" s="1"/>
      <c r="BA100" s="1"/>
      <c r="BB100" s="1"/>
      <c r="BC100" s="1"/>
      <c r="BD100" s="1"/>
      <c r="BE100" s="1"/>
      <c r="BF100" s="1"/>
      <c r="BG100" s="3"/>
      <c r="BI100" s="20"/>
    </row>
    <row r="101" spans="1:61" ht="9.9499999999999993" customHeight="1">
      <c r="A101" s="23"/>
      <c r="B101" s="8"/>
      <c r="C101" s="253"/>
      <c r="D101" s="5"/>
      <c r="E101" s="5"/>
      <c r="F101" s="5"/>
      <c r="G101" s="5"/>
      <c r="H101" s="5"/>
      <c r="I101" s="5"/>
      <c r="J101" s="5"/>
      <c r="K101" s="5"/>
      <c r="L101" s="5"/>
      <c r="M101" s="5"/>
      <c r="N101" s="5"/>
      <c r="O101" s="6"/>
      <c r="P101" s="253"/>
      <c r="Q101" s="5"/>
      <c r="R101" s="5"/>
      <c r="S101" s="5"/>
      <c r="T101" s="6"/>
      <c r="U101" s="5"/>
      <c r="V101" s="5"/>
      <c r="W101" s="5"/>
      <c r="X101" s="5"/>
      <c r="Y101" s="5"/>
      <c r="Z101" s="5"/>
      <c r="AA101" s="5"/>
      <c r="AB101" s="3"/>
      <c r="AC101" s="1"/>
      <c r="AD101" s="1"/>
      <c r="AE101" s="1"/>
      <c r="AF101" s="1"/>
      <c r="AG101" s="1"/>
      <c r="AH101" s="2"/>
      <c r="AI101" s="1"/>
      <c r="AJ101" s="1"/>
      <c r="AK101" s="1"/>
      <c r="AL101" s="1"/>
      <c r="AM101" s="1"/>
      <c r="AN101" s="1"/>
      <c r="AO101" s="1"/>
      <c r="AP101" s="3"/>
      <c r="AQ101" s="1"/>
      <c r="AR101" s="1"/>
      <c r="AS101" s="1"/>
      <c r="AT101" s="1"/>
      <c r="AU101" s="1"/>
      <c r="AV101" s="1"/>
      <c r="AW101" s="1"/>
      <c r="AX101" s="1"/>
      <c r="AY101" s="1"/>
      <c r="AZ101" s="1"/>
      <c r="BA101" s="1"/>
      <c r="BB101" s="1"/>
      <c r="BC101" s="1"/>
      <c r="BD101" s="1"/>
      <c r="BE101" s="1"/>
      <c r="BF101" s="1"/>
      <c r="BG101" s="3"/>
      <c r="BI101" s="20"/>
    </row>
    <row r="102" spans="1:61" ht="9.9499999999999993" customHeight="1">
      <c r="A102" s="23"/>
      <c r="B102" s="8"/>
      <c r="C102" s="253"/>
      <c r="D102" s="5"/>
      <c r="E102" s="5"/>
      <c r="F102" s="5"/>
      <c r="G102" s="5"/>
      <c r="H102" s="5"/>
      <c r="I102" s="5"/>
      <c r="J102" s="5"/>
      <c r="K102" s="5"/>
      <c r="L102" s="5"/>
      <c r="M102" s="5"/>
      <c r="N102" s="5"/>
      <c r="O102" s="6"/>
      <c r="P102" s="253"/>
      <c r="Q102" s="5"/>
      <c r="R102" s="5"/>
      <c r="S102" s="5"/>
      <c r="T102" s="6"/>
      <c r="U102" s="5"/>
      <c r="V102" s="5"/>
      <c r="W102" s="5"/>
      <c r="X102" s="5"/>
      <c r="Y102" s="5"/>
      <c r="Z102" s="5"/>
      <c r="AA102" s="5"/>
      <c r="AB102" s="3"/>
      <c r="AC102" s="1"/>
      <c r="AD102" s="1"/>
      <c r="AE102" s="1"/>
      <c r="AF102" s="1"/>
      <c r="AG102" s="1"/>
      <c r="AH102" s="14"/>
      <c r="AI102" s="250"/>
      <c r="AJ102" s="250"/>
      <c r="AK102" s="250"/>
      <c r="AL102" s="250"/>
      <c r="AM102" s="250"/>
      <c r="AN102" s="250"/>
      <c r="AO102" s="250"/>
      <c r="AP102" s="255"/>
      <c r="AQ102" s="1"/>
      <c r="AR102" s="1"/>
      <c r="AS102" s="1"/>
      <c r="AT102" s="1"/>
      <c r="AU102" s="1"/>
      <c r="AV102" s="1"/>
      <c r="AW102" s="1"/>
      <c r="AX102" s="1"/>
      <c r="AY102" s="1"/>
      <c r="AZ102" s="1"/>
      <c r="BA102" s="1"/>
      <c r="BB102" s="1"/>
      <c r="BC102" s="1"/>
      <c r="BD102" s="1"/>
      <c r="BE102" s="1"/>
      <c r="BF102" s="1"/>
      <c r="BG102" s="3"/>
      <c r="BI102" s="20"/>
    </row>
    <row r="103" spans="1:61" ht="9.9499999999999993" customHeight="1">
      <c r="A103" s="23"/>
      <c r="B103" s="8"/>
      <c r="C103" s="253"/>
      <c r="D103" s="5"/>
      <c r="E103" s="5"/>
      <c r="F103" s="5"/>
      <c r="G103" s="5"/>
      <c r="H103" s="5"/>
      <c r="I103" s="5"/>
      <c r="J103" s="5"/>
      <c r="K103" s="5"/>
      <c r="L103" s="5"/>
      <c r="M103" s="5"/>
      <c r="N103" s="5"/>
      <c r="O103" s="6"/>
      <c r="P103" s="253"/>
      <c r="Q103" s="5"/>
      <c r="R103" s="5"/>
      <c r="S103" s="5"/>
      <c r="T103" s="6"/>
      <c r="U103" s="5"/>
      <c r="V103" s="5"/>
      <c r="W103" s="5"/>
      <c r="X103" s="5"/>
      <c r="Y103" s="5"/>
      <c r="Z103" s="5"/>
      <c r="AA103" s="5"/>
      <c r="AB103" s="3"/>
      <c r="AC103" s="1"/>
      <c r="AD103" s="1"/>
      <c r="AE103" s="1"/>
      <c r="AF103" s="1"/>
      <c r="AG103" s="1"/>
      <c r="AH103" s="13"/>
      <c r="AI103" s="266"/>
      <c r="AJ103" s="266"/>
      <c r="AK103" s="266"/>
      <c r="AL103" s="266"/>
      <c r="AM103" s="266"/>
      <c r="AN103" s="266"/>
      <c r="AO103" s="266"/>
      <c r="AP103" s="252"/>
      <c r="AQ103" s="1"/>
      <c r="AR103" s="1"/>
      <c r="AS103" s="1"/>
      <c r="AT103" s="1"/>
      <c r="AU103" s="1"/>
      <c r="AV103" s="1"/>
      <c r="AW103" s="1"/>
      <c r="AX103" s="1"/>
      <c r="AY103" s="1"/>
      <c r="AZ103" s="1"/>
      <c r="BA103" s="1"/>
      <c r="BB103" s="1"/>
      <c r="BC103" s="1"/>
      <c r="BD103" s="1"/>
      <c r="BE103" s="1"/>
      <c r="BF103" s="1"/>
      <c r="BG103" s="3"/>
      <c r="BI103" s="20"/>
    </row>
    <row r="104" spans="1:61" ht="9.9499999999999993" customHeight="1">
      <c r="A104" s="23"/>
      <c r="B104" s="8"/>
      <c r="C104" s="2"/>
      <c r="D104" s="1"/>
      <c r="E104" s="1"/>
      <c r="F104" s="1"/>
      <c r="G104" s="1"/>
      <c r="H104" s="1"/>
      <c r="I104" s="1"/>
      <c r="J104" s="1"/>
      <c r="K104" s="1"/>
      <c r="L104" s="1"/>
      <c r="M104" s="1"/>
      <c r="N104" s="1"/>
      <c r="O104" s="3"/>
      <c r="P104" s="2"/>
      <c r="Q104" s="1"/>
      <c r="R104" s="1"/>
      <c r="S104" s="1"/>
      <c r="T104" s="3"/>
      <c r="U104" s="1"/>
      <c r="V104" s="1"/>
      <c r="W104" s="1"/>
      <c r="X104" s="1"/>
      <c r="Y104" s="1"/>
      <c r="Z104" s="1"/>
      <c r="AA104" s="1"/>
      <c r="AB104" s="3"/>
      <c r="AC104" s="1"/>
      <c r="AD104" s="1"/>
      <c r="AE104" s="1"/>
      <c r="AF104" s="1"/>
      <c r="AG104" s="1"/>
      <c r="AH104" s="2"/>
      <c r="AI104" s="1"/>
      <c r="AJ104" s="1"/>
      <c r="AK104" s="1"/>
      <c r="AL104" s="1"/>
      <c r="AM104" s="1"/>
      <c r="AN104" s="1"/>
      <c r="AO104" s="1"/>
      <c r="AP104" s="3"/>
      <c r="AQ104" s="1"/>
      <c r="AR104" s="1"/>
      <c r="AS104" s="1"/>
      <c r="AT104" s="1"/>
      <c r="AU104" s="1"/>
      <c r="AV104" s="1"/>
      <c r="AW104" s="1"/>
      <c r="AX104" s="1"/>
      <c r="AY104" s="1"/>
      <c r="AZ104" s="1"/>
      <c r="BA104" s="1"/>
      <c r="BB104" s="1"/>
      <c r="BC104" s="1"/>
      <c r="BD104" s="1"/>
      <c r="BE104" s="1"/>
      <c r="BF104" s="1"/>
      <c r="BG104" s="3"/>
      <c r="BI104" s="20"/>
    </row>
    <row r="105" spans="1:61" ht="9.9499999999999993" customHeight="1">
      <c r="A105" s="23"/>
      <c r="B105" s="8"/>
      <c r="C105" s="2"/>
      <c r="D105" s="1"/>
      <c r="E105" s="1"/>
      <c r="F105" s="1"/>
      <c r="G105" s="1"/>
      <c r="H105" s="1"/>
      <c r="I105" s="1"/>
      <c r="J105" s="1"/>
      <c r="K105" s="1"/>
      <c r="L105" s="1"/>
      <c r="M105" s="1"/>
      <c r="N105" s="1"/>
      <c r="O105" s="3"/>
      <c r="P105" s="2"/>
      <c r="Q105" s="1"/>
      <c r="R105" s="1"/>
      <c r="S105" s="1"/>
      <c r="T105" s="3"/>
      <c r="U105" s="1"/>
      <c r="V105" s="1"/>
      <c r="W105" s="1"/>
      <c r="X105" s="1"/>
      <c r="Y105" s="1"/>
      <c r="Z105" s="1"/>
      <c r="AA105" s="1"/>
      <c r="AB105" s="3"/>
      <c r="AC105" s="1"/>
      <c r="AD105" s="1"/>
      <c r="AE105" s="1"/>
      <c r="AF105" s="1"/>
      <c r="AG105" s="1"/>
      <c r="AH105" s="2"/>
      <c r="AI105" s="1"/>
      <c r="AJ105" s="1"/>
      <c r="AK105" s="1"/>
      <c r="AL105" s="1"/>
      <c r="AM105" s="1"/>
      <c r="AN105" s="1"/>
      <c r="AO105" s="1"/>
      <c r="AP105" s="3"/>
      <c r="AQ105" s="1"/>
      <c r="AR105" s="1"/>
      <c r="AS105" s="1"/>
      <c r="AT105" s="1"/>
      <c r="AU105" s="1"/>
      <c r="AV105" s="1"/>
      <c r="AW105" s="1"/>
      <c r="AX105" s="1"/>
      <c r="AY105" s="1"/>
      <c r="AZ105" s="1"/>
      <c r="BA105" s="1"/>
      <c r="BB105" s="1"/>
      <c r="BC105" s="1"/>
      <c r="BD105" s="1"/>
      <c r="BE105" s="1"/>
      <c r="BF105" s="1"/>
      <c r="BG105" s="3"/>
      <c r="BI105" s="20"/>
    </row>
    <row r="106" spans="1:61" ht="9.9499999999999993" customHeight="1">
      <c r="A106" s="23"/>
      <c r="B106" s="8"/>
      <c r="C106" s="2"/>
      <c r="D106" s="1"/>
      <c r="E106" s="1"/>
      <c r="F106" s="1"/>
      <c r="G106" s="1"/>
      <c r="H106" s="1"/>
      <c r="I106" s="1"/>
      <c r="J106" s="1"/>
      <c r="K106" s="1"/>
      <c r="L106" s="1"/>
      <c r="M106" s="1"/>
      <c r="N106" s="1"/>
      <c r="O106" s="3"/>
      <c r="P106" s="2"/>
      <c r="Q106" s="1"/>
      <c r="R106" s="1"/>
      <c r="S106" s="1"/>
      <c r="T106" s="3"/>
      <c r="U106" s="1"/>
      <c r="V106" s="1"/>
      <c r="W106" s="1"/>
      <c r="X106" s="1"/>
      <c r="Y106" s="1"/>
      <c r="Z106" s="1"/>
      <c r="AA106" s="1"/>
      <c r="AB106" s="3"/>
      <c r="AC106" s="1"/>
      <c r="AD106" s="1"/>
      <c r="AE106" s="1"/>
      <c r="AF106" s="1"/>
      <c r="AG106" s="1"/>
      <c r="AH106" s="2"/>
      <c r="AI106" s="1"/>
      <c r="AJ106" s="1"/>
      <c r="AK106" s="1"/>
      <c r="AL106" s="1"/>
      <c r="AM106" s="1"/>
      <c r="AN106" s="1"/>
      <c r="AO106" s="1"/>
      <c r="AP106" s="3"/>
      <c r="AQ106" s="1"/>
      <c r="AR106" s="1"/>
      <c r="AS106" s="1"/>
      <c r="AT106" s="1"/>
      <c r="AU106" s="1"/>
      <c r="AV106" s="1"/>
      <c r="AW106" s="1"/>
      <c r="AX106" s="1"/>
      <c r="AY106" s="1"/>
      <c r="AZ106" s="1"/>
      <c r="BA106" s="1"/>
      <c r="BB106" s="1"/>
      <c r="BC106" s="1"/>
      <c r="BD106" s="1"/>
      <c r="BE106" s="1"/>
      <c r="BF106" s="1"/>
      <c r="BG106" s="3"/>
      <c r="BI106" s="20"/>
    </row>
    <row r="107" spans="1:61" ht="9.9499999999999993" customHeight="1">
      <c r="A107" s="23"/>
      <c r="B107" s="8"/>
      <c r="C107" s="2"/>
      <c r="D107" s="1"/>
      <c r="E107" s="1"/>
      <c r="F107" s="1"/>
      <c r="G107" s="1"/>
      <c r="H107" s="1"/>
      <c r="I107" s="1"/>
      <c r="J107" s="1"/>
      <c r="K107" s="1"/>
      <c r="L107" s="1"/>
      <c r="M107" s="1"/>
      <c r="N107" s="1"/>
      <c r="O107" s="3"/>
      <c r="P107" s="2"/>
      <c r="Q107" s="1"/>
      <c r="R107" s="1"/>
      <c r="S107" s="1"/>
      <c r="T107" s="3"/>
      <c r="U107" s="1"/>
      <c r="V107" s="1"/>
      <c r="W107" s="1"/>
      <c r="X107" s="1"/>
      <c r="Y107" s="1"/>
      <c r="Z107" s="1"/>
      <c r="AA107" s="1"/>
      <c r="AB107" s="3"/>
      <c r="AC107" s="1"/>
      <c r="AD107" s="1"/>
      <c r="AE107" s="1"/>
      <c r="AF107" s="1"/>
      <c r="AG107" s="1"/>
      <c r="AH107" s="2"/>
      <c r="AI107" s="1"/>
      <c r="AJ107" s="1"/>
      <c r="AK107" s="1"/>
      <c r="AL107" s="1"/>
      <c r="AM107" s="1"/>
      <c r="AN107" s="1"/>
      <c r="AO107" s="1"/>
      <c r="AP107" s="3"/>
      <c r="AQ107" s="1"/>
      <c r="AR107" s="1"/>
      <c r="AS107" s="1"/>
      <c r="AT107" s="1"/>
      <c r="AU107" s="1"/>
      <c r="AV107" s="1"/>
      <c r="AW107" s="1"/>
      <c r="AX107" s="1"/>
      <c r="AY107" s="1"/>
      <c r="AZ107" s="1"/>
      <c r="BA107" s="1"/>
      <c r="BB107" s="1"/>
      <c r="BC107" s="1"/>
      <c r="BD107" s="1"/>
      <c r="BE107" s="1"/>
      <c r="BF107" s="1"/>
      <c r="BG107" s="3"/>
      <c r="BI107" s="20"/>
    </row>
    <row r="108" spans="1:61" ht="9.9499999999999993" customHeight="1">
      <c r="A108" s="23"/>
      <c r="B108" s="8"/>
      <c r="C108" s="2"/>
      <c r="D108" s="1"/>
      <c r="E108" s="1"/>
      <c r="F108" s="1"/>
      <c r="G108" s="1"/>
      <c r="H108" s="1"/>
      <c r="I108" s="1"/>
      <c r="J108" s="1"/>
      <c r="K108" s="1"/>
      <c r="L108" s="1"/>
      <c r="M108" s="1"/>
      <c r="N108" s="1"/>
      <c r="O108" s="3"/>
      <c r="P108" s="2"/>
      <c r="Q108" s="1"/>
      <c r="R108" s="1"/>
      <c r="S108" s="1"/>
      <c r="T108" s="3"/>
      <c r="U108" s="1"/>
      <c r="V108" s="1"/>
      <c r="W108" s="1"/>
      <c r="X108" s="1"/>
      <c r="Y108" s="1"/>
      <c r="Z108" s="1"/>
      <c r="AA108" s="1"/>
      <c r="AB108" s="3"/>
      <c r="AC108" s="1"/>
      <c r="AD108" s="1"/>
      <c r="AE108" s="1"/>
      <c r="AF108" s="1"/>
      <c r="AG108" s="1"/>
      <c r="AH108" s="2"/>
      <c r="AI108" s="1"/>
      <c r="AJ108" s="1"/>
      <c r="AK108" s="1"/>
      <c r="AL108" s="1"/>
      <c r="AM108" s="1"/>
      <c r="AN108" s="1"/>
      <c r="AO108" s="1"/>
      <c r="AP108" s="3"/>
      <c r="AQ108" s="1"/>
      <c r="AR108" s="1"/>
      <c r="AS108" s="1"/>
      <c r="AT108" s="1"/>
      <c r="AU108" s="1"/>
      <c r="AV108" s="1"/>
      <c r="AW108" s="1"/>
      <c r="AX108" s="1"/>
      <c r="AY108" s="1"/>
      <c r="AZ108" s="1"/>
      <c r="BA108" s="1"/>
      <c r="BB108" s="1"/>
      <c r="BC108" s="1"/>
      <c r="BD108" s="1"/>
      <c r="BE108" s="1"/>
      <c r="BF108" s="1"/>
      <c r="BG108" s="3"/>
      <c r="BI108" s="20"/>
    </row>
    <row r="109" spans="1:61" ht="9.9499999999999993" customHeight="1">
      <c r="A109" s="23"/>
      <c r="B109" s="269"/>
      <c r="C109" s="11"/>
      <c r="D109" s="10"/>
      <c r="E109" s="10"/>
      <c r="F109" s="10"/>
      <c r="G109" s="10"/>
      <c r="H109" s="10"/>
      <c r="I109" s="10"/>
      <c r="J109" s="10"/>
      <c r="K109" s="10"/>
      <c r="L109" s="10"/>
      <c r="M109" s="10"/>
      <c r="N109" s="10"/>
      <c r="O109" s="270"/>
      <c r="P109" s="11"/>
      <c r="Q109" s="10"/>
      <c r="R109" s="10"/>
      <c r="S109" s="10"/>
      <c r="T109" s="270"/>
      <c r="U109" s="10"/>
      <c r="V109" s="10"/>
      <c r="W109" s="10"/>
      <c r="X109" s="10"/>
      <c r="Y109" s="10"/>
      <c r="Z109" s="10"/>
      <c r="AA109" s="10"/>
      <c r="AB109" s="270"/>
      <c r="AC109" s="1"/>
      <c r="AD109" s="1"/>
      <c r="AE109" s="1"/>
      <c r="AF109" s="1"/>
      <c r="AG109" s="1"/>
      <c r="AH109" s="2"/>
      <c r="AI109" s="1"/>
      <c r="AJ109" s="1"/>
      <c r="AK109" s="1"/>
      <c r="AL109" s="1"/>
      <c r="AM109" s="1"/>
      <c r="AN109" s="1"/>
      <c r="AO109" s="1"/>
      <c r="AP109" s="3"/>
      <c r="AQ109" s="1"/>
      <c r="AR109" s="1"/>
      <c r="AS109" s="1"/>
      <c r="AT109" s="1"/>
      <c r="AU109" s="1"/>
      <c r="AV109" s="1"/>
      <c r="AW109" s="1"/>
      <c r="AX109" s="1"/>
      <c r="AY109" s="1"/>
      <c r="AZ109" s="1"/>
      <c r="BA109" s="1"/>
      <c r="BB109" s="1"/>
      <c r="BC109" s="1"/>
      <c r="BD109" s="1"/>
      <c r="BE109" s="1"/>
      <c r="BF109" s="1"/>
      <c r="BG109" s="3"/>
      <c r="BI109" s="20"/>
    </row>
    <row r="110" spans="1:61" ht="9.9499999999999993" customHeight="1">
      <c r="A110" s="23"/>
      <c r="B110" s="269"/>
      <c r="C110" s="11"/>
      <c r="D110" s="10"/>
      <c r="E110" s="10"/>
      <c r="F110" s="10"/>
      <c r="G110" s="10"/>
      <c r="H110" s="10"/>
      <c r="I110" s="10"/>
      <c r="J110" s="10"/>
      <c r="K110" s="10"/>
      <c r="L110" s="10"/>
      <c r="M110" s="10"/>
      <c r="N110" s="10"/>
      <c r="O110" s="270"/>
      <c r="P110" s="11"/>
      <c r="Q110" s="10"/>
      <c r="R110" s="10"/>
      <c r="S110" s="10"/>
      <c r="T110" s="270"/>
      <c r="U110" s="10"/>
      <c r="V110" s="10"/>
      <c r="W110" s="10"/>
      <c r="X110" s="10"/>
      <c r="Y110" s="10"/>
      <c r="Z110" s="10"/>
      <c r="AA110" s="10"/>
      <c r="AB110" s="270"/>
      <c r="AC110" s="1"/>
      <c r="AD110" s="1"/>
      <c r="AE110" s="1"/>
      <c r="AF110" s="1"/>
      <c r="AG110" s="1"/>
      <c r="AH110" s="2"/>
      <c r="AI110" s="1"/>
      <c r="AJ110" s="1"/>
      <c r="AK110" s="1"/>
      <c r="AL110" s="1"/>
      <c r="AM110" s="1"/>
      <c r="AN110" s="1"/>
      <c r="AO110" s="1"/>
      <c r="AP110" s="3"/>
      <c r="AQ110" s="1"/>
      <c r="AR110" s="1"/>
      <c r="AS110" s="1"/>
      <c r="AT110" s="1"/>
      <c r="AU110" s="1"/>
      <c r="AV110" s="1"/>
      <c r="AW110" s="1"/>
      <c r="AX110" s="1"/>
      <c r="AY110" s="1"/>
      <c r="AZ110" s="1"/>
      <c r="BA110" s="1"/>
      <c r="BB110" s="1"/>
      <c r="BC110" s="1"/>
      <c r="BD110" s="1"/>
      <c r="BE110" s="1"/>
      <c r="BF110" s="1"/>
      <c r="BG110" s="3"/>
      <c r="BI110" s="20"/>
    </row>
    <row r="111" spans="1:61" ht="9.9499999999999993" customHeight="1">
      <c r="A111" s="23"/>
      <c r="B111" s="269"/>
      <c r="C111" s="11"/>
      <c r="D111" s="10"/>
      <c r="E111" s="10"/>
      <c r="F111" s="10"/>
      <c r="G111" s="10"/>
      <c r="H111" s="10"/>
      <c r="I111" s="10"/>
      <c r="J111" s="10"/>
      <c r="K111" s="10"/>
      <c r="L111" s="10"/>
      <c r="M111" s="10"/>
      <c r="N111" s="10"/>
      <c r="O111" s="270"/>
      <c r="P111" s="11"/>
      <c r="Q111" s="10"/>
      <c r="R111" s="10"/>
      <c r="S111" s="10"/>
      <c r="T111" s="270"/>
      <c r="U111" s="10"/>
      <c r="V111" s="10"/>
      <c r="W111" s="10"/>
      <c r="X111" s="10"/>
      <c r="Y111" s="10"/>
      <c r="Z111" s="10"/>
      <c r="AA111" s="10"/>
      <c r="AB111" s="270"/>
      <c r="AC111" s="1"/>
      <c r="AD111" s="1"/>
      <c r="AE111" s="1"/>
      <c r="AF111" s="1"/>
      <c r="AG111" s="1"/>
      <c r="AH111" s="2"/>
      <c r="AI111" s="1"/>
      <c r="AJ111" s="1"/>
      <c r="AK111" s="1"/>
      <c r="AL111" s="1"/>
      <c r="AM111" s="1"/>
      <c r="AN111" s="1"/>
      <c r="AO111" s="1"/>
      <c r="AP111" s="3"/>
      <c r="AQ111" s="1"/>
      <c r="AR111" s="1"/>
      <c r="AS111" s="1"/>
      <c r="AT111" s="1"/>
      <c r="AU111" s="1"/>
      <c r="AV111" s="1"/>
      <c r="AW111" s="1"/>
      <c r="AX111" s="1"/>
      <c r="AY111" s="1"/>
      <c r="AZ111" s="1"/>
      <c r="BA111" s="1"/>
      <c r="BB111" s="1"/>
      <c r="BC111" s="1"/>
      <c r="BD111" s="1"/>
      <c r="BE111" s="1"/>
      <c r="BF111" s="1"/>
      <c r="BG111" s="3"/>
      <c r="BI111" s="20"/>
    </row>
    <row r="112" spans="1:61" ht="9.9499999999999993" customHeight="1">
      <c r="A112" s="23"/>
      <c r="B112" s="269"/>
      <c r="C112" s="11"/>
      <c r="D112" s="10"/>
      <c r="E112" s="10"/>
      <c r="F112" s="10"/>
      <c r="G112" s="10"/>
      <c r="H112" s="10"/>
      <c r="I112" s="10"/>
      <c r="J112" s="10"/>
      <c r="K112" s="10"/>
      <c r="L112" s="10"/>
      <c r="M112" s="10"/>
      <c r="N112" s="10"/>
      <c r="O112" s="270"/>
      <c r="P112" s="11"/>
      <c r="Q112" s="10"/>
      <c r="R112" s="10"/>
      <c r="S112" s="10"/>
      <c r="T112" s="270"/>
      <c r="U112" s="10"/>
      <c r="V112" s="10"/>
      <c r="W112" s="10"/>
      <c r="X112" s="10"/>
      <c r="Y112" s="10"/>
      <c r="Z112" s="10"/>
      <c r="AA112" s="10"/>
      <c r="AB112" s="270"/>
      <c r="AC112" s="1"/>
      <c r="AD112" s="1"/>
      <c r="AE112" s="1"/>
      <c r="AF112" s="1"/>
      <c r="AG112" s="1"/>
      <c r="AH112" s="2"/>
      <c r="AI112" s="1"/>
      <c r="AJ112" s="1"/>
      <c r="AK112" s="1"/>
      <c r="AL112" s="1"/>
      <c r="AM112" s="1"/>
      <c r="AN112" s="1"/>
      <c r="AO112" s="1"/>
      <c r="AP112" s="3"/>
      <c r="AQ112" s="1"/>
      <c r="AR112" s="1"/>
      <c r="AS112" s="1"/>
      <c r="AT112" s="1"/>
      <c r="AU112" s="1"/>
      <c r="AV112" s="1"/>
      <c r="AW112" s="1"/>
      <c r="AX112" s="1"/>
      <c r="AY112" s="1"/>
      <c r="AZ112" s="1"/>
      <c r="BA112" s="1"/>
      <c r="BB112" s="1"/>
      <c r="BC112" s="1"/>
      <c r="BD112" s="1"/>
      <c r="BE112" s="1"/>
      <c r="BF112" s="1"/>
      <c r="BG112" s="3"/>
      <c r="BI112" s="20"/>
    </row>
    <row r="113" spans="1:61" ht="9.9499999999999993" customHeight="1">
      <c r="A113" s="23"/>
      <c r="B113" s="269"/>
      <c r="C113" s="11"/>
      <c r="D113" s="10"/>
      <c r="E113" s="10"/>
      <c r="F113" s="10"/>
      <c r="G113" s="10"/>
      <c r="H113" s="10"/>
      <c r="I113" s="10"/>
      <c r="J113" s="10"/>
      <c r="K113" s="10"/>
      <c r="L113" s="10"/>
      <c r="M113" s="10"/>
      <c r="N113" s="10"/>
      <c r="O113" s="270"/>
      <c r="P113" s="11"/>
      <c r="Q113" s="10"/>
      <c r="R113" s="10"/>
      <c r="S113" s="10"/>
      <c r="T113" s="270"/>
      <c r="U113" s="10"/>
      <c r="V113" s="10"/>
      <c r="W113" s="10"/>
      <c r="X113" s="10"/>
      <c r="Y113" s="10"/>
      <c r="Z113" s="10"/>
      <c r="AA113" s="10"/>
      <c r="AB113" s="270"/>
      <c r="AC113" s="1"/>
      <c r="AD113" s="1"/>
      <c r="AE113" s="1"/>
      <c r="AF113" s="1"/>
      <c r="AG113" s="1"/>
      <c r="AH113" s="2"/>
      <c r="AI113" s="1"/>
      <c r="AJ113" s="1"/>
      <c r="AK113" s="1"/>
      <c r="AL113" s="1"/>
      <c r="AM113" s="1"/>
      <c r="AN113" s="1"/>
      <c r="AO113" s="1"/>
      <c r="AP113" s="3"/>
      <c r="AQ113" s="1"/>
      <c r="AR113" s="1"/>
      <c r="AS113" s="1"/>
      <c r="AT113" s="1"/>
      <c r="AU113" s="1"/>
      <c r="AV113" s="1"/>
      <c r="AW113" s="1"/>
      <c r="AX113" s="1"/>
      <c r="AY113" s="1"/>
      <c r="AZ113" s="1"/>
      <c r="BA113" s="1"/>
      <c r="BB113" s="1"/>
      <c r="BC113" s="1"/>
      <c r="BD113" s="1"/>
      <c r="BE113" s="1"/>
      <c r="BF113" s="1"/>
      <c r="BG113" s="3"/>
      <c r="BI113" s="20"/>
    </row>
    <row r="114" spans="1:61" ht="9.9499999999999993" customHeight="1">
      <c r="A114" s="23"/>
      <c r="B114" s="269"/>
      <c r="C114" s="271"/>
      <c r="D114" s="272"/>
      <c r="E114" s="272"/>
      <c r="F114" s="272"/>
      <c r="G114" s="272"/>
      <c r="H114" s="272"/>
      <c r="I114" s="272"/>
      <c r="J114" s="272"/>
      <c r="K114" s="272"/>
      <c r="L114" s="272"/>
      <c r="M114" s="272"/>
      <c r="N114" s="272"/>
      <c r="O114" s="273"/>
      <c r="P114" s="271"/>
      <c r="Q114" s="272"/>
      <c r="R114" s="272"/>
      <c r="S114" s="272"/>
      <c r="T114" s="273"/>
      <c r="U114" s="272"/>
      <c r="V114" s="272"/>
      <c r="W114" s="272"/>
      <c r="X114" s="272"/>
      <c r="Y114" s="272"/>
      <c r="Z114" s="272"/>
      <c r="AA114" s="272"/>
      <c r="AB114" s="273"/>
      <c r="AC114" s="1"/>
      <c r="AD114" s="1"/>
      <c r="AE114" s="1"/>
      <c r="AF114" s="1"/>
      <c r="AG114" s="1"/>
      <c r="AH114" s="14"/>
      <c r="AI114" s="250"/>
      <c r="AJ114" s="250"/>
      <c r="AK114" s="250"/>
      <c r="AL114" s="250"/>
      <c r="AM114" s="250"/>
      <c r="AN114" s="250"/>
      <c r="AO114" s="250"/>
      <c r="AP114" s="255"/>
      <c r="AQ114" s="250"/>
      <c r="AR114" s="250"/>
      <c r="AS114" s="250"/>
      <c r="AT114" s="250"/>
      <c r="AU114" s="250"/>
      <c r="AV114" s="250"/>
      <c r="AW114" s="250"/>
      <c r="AX114" s="250"/>
      <c r="AY114" s="250"/>
      <c r="AZ114" s="250"/>
      <c r="BA114" s="250"/>
      <c r="BB114" s="250"/>
      <c r="BC114" s="250"/>
      <c r="BD114" s="250"/>
      <c r="BE114" s="250"/>
      <c r="BF114" s="250"/>
      <c r="BG114" s="255"/>
      <c r="BI114" s="20"/>
    </row>
    <row r="115" spans="1:61" ht="9.9499999999999993" customHeight="1">
      <c r="A115" s="23"/>
      <c r="B115" s="269"/>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274"/>
      <c r="BE115" s="1"/>
      <c r="BF115" s="1"/>
      <c r="BG115" s="1"/>
      <c r="BI115" s="20"/>
    </row>
    <row r="116" spans="1:61">
      <c r="A116" s="23"/>
      <c r="AH116" s="275" t="str">
        <f>e!C51</f>
        <v>A4</v>
      </c>
      <c r="BG116" s="276" t="str">
        <f>B1</f>
        <v>Español (Spanish) +</v>
      </c>
      <c r="BI116" s="20"/>
    </row>
    <row r="117" spans="1:61" ht="27" customHeight="1">
      <c r="A117" s="24"/>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2"/>
    </row>
  </sheetData>
  <mergeCells count="44">
    <mergeCell ref="AB28:AC29"/>
    <mergeCell ref="Z37:AA38"/>
    <mergeCell ref="S42:T43"/>
    <mergeCell ref="C8:F9"/>
    <mergeCell ref="H8:K9"/>
    <mergeCell ref="M8:P9"/>
    <mergeCell ref="R8:U9"/>
    <mergeCell ref="W8:Z9"/>
    <mergeCell ref="D39:E40"/>
    <mergeCell ref="C29:D30"/>
    <mergeCell ref="D17:E18"/>
    <mergeCell ref="S15:T16"/>
    <mergeCell ref="Z20:AA21"/>
    <mergeCell ref="B1:J1"/>
    <mergeCell ref="X1:Z1"/>
    <mergeCell ref="AA1:AE1"/>
    <mergeCell ref="AF1:AX1"/>
    <mergeCell ref="AF2:AX2"/>
    <mergeCell ref="T1:W1"/>
    <mergeCell ref="N54:R55"/>
    <mergeCell ref="T54:AB55"/>
    <mergeCell ref="D11:G12"/>
    <mergeCell ref="I11:L12"/>
    <mergeCell ref="N11:Q12"/>
    <mergeCell ref="S11:AA12"/>
    <mergeCell ref="B45:R46"/>
    <mergeCell ref="T45:X46"/>
    <mergeCell ref="Z45:AB46"/>
    <mergeCell ref="L42:M43"/>
    <mergeCell ref="B48:N49"/>
    <mergeCell ref="P48:AB49"/>
    <mergeCell ref="B51:N52"/>
    <mergeCell ref="P51:AB52"/>
    <mergeCell ref="B54:F55"/>
    <mergeCell ref="H54:L55"/>
    <mergeCell ref="C76:O80"/>
    <mergeCell ref="P76:T80"/>
    <mergeCell ref="U76:AB80"/>
    <mergeCell ref="B56:F56"/>
    <mergeCell ref="H56:L56"/>
    <mergeCell ref="N56:R56"/>
    <mergeCell ref="B57:R57"/>
    <mergeCell ref="C58:AA59"/>
    <mergeCell ref="C62:AB62"/>
  </mergeCells>
  <printOptions horizontalCentered="1" verticalCentered="1"/>
  <pageMargins left="0.45" right="0.45" top="0.25" bottom="0.25" header="0.3" footer="0.3"/>
  <pageSetup paperSize="9" orientation="landscape"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'C:\Users\Brian Kessler\Desktop\tempCMR\[2020_CMR20_IDI_UPS_Q1_v34-TEST.xlsm]e'!#REF!</xm:f>
          </x14:formula1>
          <xm:sqref>B2:J2</xm:sqref>
        </x14:dataValidation>
        <x14:dataValidation type="list" allowBlank="1" showInputMessage="1" showErrorMessage="1" xr:uid="{00000000-0002-0000-0000-000001000000}">
          <x14:formula1>
            <xm:f>'C:\Users\Brian Kessler\Desktop\tempCMR\[2020_CMR20_IDI_UPS_Q1_v34-TEST.xlsm]Data'!#REF!</xm:f>
          </x14:formula1>
          <xm:sqref>AD2</xm:sqref>
        </x14:dataValidation>
        <x14:dataValidation type="list" allowBlank="1" showInputMessage="1" showErrorMessage="1" xr:uid="{00000000-0002-0000-0000-000002000000}">
          <x14:formula1>
            <xm:f>e!$B$1:$Z$1</xm:f>
          </x14:formula1>
          <xm:sqref>B1:J1</xm:sqref>
        </x14:dataValidation>
        <x14:dataValidation type="list" allowBlank="1" showInputMessage="1" showErrorMessage="1" xr:uid="{00000000-0002-0000-0000-000003000000}">
          <x14:formula1>
            <xm:f>Data!$A$12:$A$3958</xm:f>
          </x14:formula1>
          <xm:sqref>AF1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64"/>
  <sheetViews>
    <sheetView showGridLines="0" zoomScale="90" zoomScaleNormal="90" workbookViewId="0">
      <pane ySplit="2" topLeftCell="A3" activePane="bottomLeft" state="frozen"/>
      <selection pane="bottomLeft" activeCell="AF1" sqref="AF1:AJ1"/>
    </sheetView>
  </sheetViews>
  <sheetFormatPr baseColWidth="10" defaultColWidth="9.140625" defaultRowHeight="15"/>
  <cols>
    <col min="1" max="1" width="1.7109375" customWidth="1"/>
    <col min="2" max="29" width="2.28515625" customWidth="1"/>
    <col min="30" max="30" width="0.85546875" customWidth="1"/>
    <col min="31" max="31" width="1.7109375" customWidth="1"/>
    <col min="32" max="36" width="13.7109375" customWidth="1"/>
    <col min="37" max="37" width="20.7109375" customWidth="1"/>
    <col min="38" max="38" width="1.7109375" style="169" customWidth="1"/>
  </cols>
  <sheetData>
    <row r="1" spans="1:38" ht="17.100000000000001" customHeight="1">
      <c r="A1" s="144"/>
      <c r="B1" s="395" t="s">
        <v>1646</v>
      </c>
      <c r="C1" s="396"/>
      <c r="D1" s="396"/>
      <c r="E1" s="396"/>
      <c r="F1" s="396"/>
      <c r="G1" s="396"/>
      <c r="H1" s="396"/>
      <c r="I1" s="396"/>
      <c r="J1" s="397"/>
      <c r="K1" s="144"/>
      <c r="L1" s="144"/>
      <c r="M1" s="144"/>
      <c r="N1" s="144"/>
      <c r="O1" s="144"/>
      <c r="P1" s="144"/>
      <c r="Q1" s="144"/>
      <c r="R1" s="144"/>
      <c r="S1" s="144"/>
      <c r="T1" s="144"/>
      <c r="U1" s="417" t="str">
        <f>HLOOKUP($B$1,e!$A$1:$Z$243,U5,FALSE)&amp;" &gt;"</f>
        <v>fila &gt;</v>
      </c>
      <c r="V1" s="417"/>
      <c r="W1" s="417"/>
      <c r="X1" s="398" t="e">
        <f>MATCH(AF1,Data!A12:A958,0)+11</f>
        <v>#N/A</v>
      </c>
      <c r="Y1" s="398"/>
      <c r="Z1" s="398"/>
      <c r="AA1" s="417" t="str">
        <f>HLOOKUP($B$1,e!$A$1:$Z$243,AA5,FALSE)&amp;" &gt;"</f>
        <v>Seleccione &gt;</v>
      </c>
      <c r="AB1" s="417"/>
      <c r="AC1" s="417"/>
      <c r="AD1" s="417"/>
      <c r="AE1" s="417"/>
      <c r="AF1" s="428" t="s">
        <v>3276</v>
      </c>
      <c r="AG1" s="429"/>
      <c r="AH1" s="429"/>
      <c r="AI1" s="429"/>
      <c r="AJ1" s="429"/>
      <c r="AK1" s="178" t="str">
        <f>IFERROR(VLOOKUP($AF1,Data!$A:$AZ,28,FALSE),"")</f>
        <v/>
      </c>
      <c r="AL1" s="167">
        <v>252</v>
      </c>
    </row>
    <row r="2" spans="1:38" ht="17.100000000000001" customHeight="1">
      <c r="A2" s="140"/>
      <c r="B2" s="140"/>
      <c r="C2" s="140"/>
      <c r="D2" s="140"/>
      <c r="E2" s="140"/>
      <c r="F2" s="140"/>
      <c r="G2" s="140"/>
      <c r="H2" s="140"/>
      <c r="I2" s="140"/>
      <c r="J2" s="140"/>
      <c r="K2" s="140"/>
      <c r="L2" s="140"/>
      <c r="M2" s="160"/>
      <c r="N2" s="140"/>
      <c r="O2" s="140"/>
      <c r="P2" s="140"/>
      <c r="Q2" s="140"/>
      <c r="R2" s="140"/>
      <c r="S2" s="140"/>
      <c r="T2" s="140"/>
      <c r="U2" s="140"/>
      <c r="V2" s="140"/>
      <c r="W2" s="160"/>
      <c r="X2" s="140"/>
      <c r="Y2" s="140"/>
      <c r="Z2" s="140"/>
      <c r="AA2" s="140"/>
      <c r="AB2" s="140"/>
      <c r="AC2" s="140"/>
      <c r="AD2" s="140"/>
      <c r="AE2" s="140"/>
      <c r="AF2" s="430" t="str">
        <f>B50&amp;"  /  "&amp;B47&amp;"  /  "&amp;T47</f>
        <v>Nombre del líder  /  Nombre del grupo / iglesia  /  Fecha de Inicio</v>
      </c>
      <c r="AG2" s="431"/>
      <c r="AH2" s="431"/>
      <c r="AI2" s="431"/>
      <c r="AJ2" s="431"/>
      <c r="AK2" s="179" t="str">
        <f>HLOOKUP($B$1,e!$A$1:$Z$243,AL2,FALSE)</f>
        <v>Ubicación del entrenador</v>
      </c>
      <c r="AL2" s="167">
        <v>35</v>
      </c>
    </row>
    <row r="3" spans="1:38" ht="9" customHeight="1">
      <c r="A3" s="130"/>
      <c r="B3" s="132"/>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43"/>
      <c r="AG3" s="154"/>
      <c r="AH3" s="155"/>
      <c r="AI3" s="155"/>
      <c r="AJ3" s="155"/>
      <c r="AK3" s="156"/>
      <c r="AL3" s="167"/>
    </row>
    <row r="4" spans="1:38" ht="15" customHeight="1">
      <c r="A4" s="131"/>
      <c r="B4" s="30" t="str">
        <f>HLOOKUP($B$1,e!$A$1:$Z$55,B5,FALSE)</f>
        <v>Herramienta para el Entrenamiento del Mapeo Generacional</v>
      </c>
      <c r="C4" s="1"/>
      <c r="D4" s="1"/>
      <c r="E4" s="1"/>
      <c r="F4" s="1"/>
      <c r="G4" s="1"/>
      <c r="H4" s="1"/>
      <c r="I4" s="1"/>
      <c r="J4" s="1"/>
      <c r="K4" s="1"/>
      <c r="L4" s="1"/>
      <c r="M4" s="1"/>
      <c r="N4" s="1"/>
      <c r="O4" s="1"/>
      <c r="P4" s="1"/>
      <c r="Q4" s="1"/>
      <c r="R4" s="1"/>
      <c r="S4" s="1"/>
      <c r="T4" s="1"/>
      <c r="U4" s="1"/>
      <c r="V4" s="1"/>
      <c r="W4" s="1"/>
      <c r="X4" s="1"/>
      <c r="Y4" s="1"/>
      <c r="Z4" s="1"/>
      <c r="AA4" s="76"/>
      <c r="AB4" s="76"/>
      <c r="AC4" s="188" t="str">
        <f>"v"&amp;e!A50</f>
        <v>v35</v>
      </c>
      <c r="AD4" s="16"/>
      <c r="AE4" s="141"/>
      <c r="AF4" s="143"/>
      <c r="AG4" s="424" t="str">
        <f>"&lt; "&amp;HLOOKUP($B$1,e!$A$1:$Z$300,AL4,FALSE)</f>
        <v>&lt; GUARDE toda la información actualizada en la pestaña de datos.</v>
      </c>
      <c r="AH4" s="425"/>
      <c r="AI4" s="425"/>
      <c r="AJ4" s="425"/>
      <c r="AK4" s="426"/>
      <c r="AL4" s="167">
        <v>201</v>
      </c>
    </row>
    <row r="5" spans="1:38" ht="9.9499999999999993" customHeight="1">
      <c r="A5" s="131"/>
      <c r="B5" s="17">
        <v>2</v>
      </c>
      <c r="C5" s="16"/>
      <c r="D5" s="16"/>
      <c r="E5" s="16"/>
      <c r="F5" s="16"/>
      <c r="G5" s="16"/>
      <c r="H5" s="16"/>
      <c r="I5" s="16"/>
      <c r="J5" s="16"/>
      <c r="K5" s="16"/>
      <c r="L5" s="16"/>
      <c r="M5" s="16"/>
      <c r="N5" s="16"/>
      <c r="O5" s="16"/>
      <c r="P5" s="16"/>
      <c r="Q5" s="16"/>
      <c r="R5" s="16"/>
      <c r="S5" s="16"/>
      <c r="T5" s="17"/>
      <c r="U5" s="17">
        <v>196</v>
      </c>
      <c r="V5" s="17"/>
      <c r="W5" s="17"/>
      <c r="X5" s="17"/>
      <c r="Y5" s="17"/>
      <c r="Z5" s="17"/>
      <c r="AA5" s="17">
        <v>197</v>
      </c>
      <c r="AB5" s="17"/>
      <c r="AC5" s="16"/>
      <c r="AD5" s="16"/>
      <c r="AE5" s="142"/>
      <c r="AF5" s="143"/>
      <c r="AG5" s="424"/>
      <c r="AH5" s="425"/>
      <c r="AI5" s="425"/>
      <c r="AJ5" s="425"/>
      <c r="AK5" s="426"/>
      <c r="AL5" s="167"/>
    </row>
    <row r="6" spans="1:38" ht="9.9499999999999993" customHeight="1">
      <c r="A6" s="131"/>
      <c r="B6" s="1"/>
      <c r="C6" s="1"/>
      <c r="D6" s="1"/>
      <c r="E6" s="1"/>
      <c r="F6" s="1"/>
      <c r="G6" s="1"/>
      <c r="H6" s="1"/>
      <c r="I6" s="1"/>
      <c r="J6" s="1"/>
      <c r="K6" s="1"/>
      <c r="L6" s="1"/>
      <c r="M6" s="1"/>
      <c r="N6" s="1"/>
      <c r="O6" s="1"/>
      <c r="P6" s="1"/>
      <c r="Q6" s="1"/>
      <c r="R6" s="1"/>
      <c r="S6" s="1"/>
      <c r="T6" s="1"/>
      <c r="U6" s="1"/>
      <c r="V6" s="1"/>
      <c r="W6" s="1"/>
      <c r="X6" s="1"/>
      <c r="Y6" s="1"/>
      <c r="Z6" s="1"/>
      <c r="AA6" s="1"/>
      <c r="AB6" s="1"/>
      <c r="AC6" s="1"/>
      <c r="AD6" s="1"/>
      <c r="AE6" s="141"/>
      <c r="AF6" s="143"/>
      <c r="AG6" s="424"/>
      <c r="AH6" s="425"/>
      <c r="AI6" s="425"/>
      <c r="AJ6" s="425"/>
      <c r="AK6" s="426"/>
      <c r="AL6" s="167"/>
    </row>
    <row r="7" spans="1:38" ht="9.9499999999999993" customHeight="1">
      <c r="A7" s="131"/>
      <c r="B7" s="1"/>
      <c r="C7" s="1"/>
      <c r="D7" s="1"/>
      <c r="E7" s="1"/>
      <c r="F7" s="1"/>
      <c r="G7" s="1"/>
      <c r="H7" s="1"/>
      <c r="I7" s="1"/>
      <c r="J7" s="1"/>
      <c r="K7" s="1"/>
      <c r="L7" s="1"/>
      <c r="M7" s="1"/>
      <c r="N7" s="1"/>
      <c r="O7" s="1"/>
      <c r="P7" s="1"/>
      <c r="Q7" s="1"/>
      <c r="R7" s="1"/>
      <c r="S7" s="1"/>
      <c r="T7" s="1"/>
      <c r="U7" s="1"/>
      <c r="V7" s="1"/>
      <c r="W7" s="1"/>
      <c r="X7" s="1"/>
      <c r="Y7" s="1"/>
      <c r="Z7" s="1"/>
      <c r="AA7" s="1"/>
      <c r="AB7" s="1"/>
      <c r="AC7" s="1"/>
      <c r="AD7" s="1"/>
      <c r="AE7" s="141"/>
      <c r="AF7" s="143"/>
      <c r="AG7" s="165"/>
      <c r="AH7" s="166"/>
      <c r="AI7" s="166"/>
      <c r="AJ7" s="166"/>
      <c r="AK7" s="183"/>
      <c r="AL7" s="167"/>
    </row>
    <row r="8" spans="1:38" ht="9.9499999999999993" customHeight="1">
      <c r="A8" s="131"/>
      <c r="B8" s="1"/>
      <c r="C8" s="438" t="str">
        <f>IFERROR(VLOOKUP($AF1,Data!$A:$AZ,9,FALSE),"")</f>
        <v/>
      </c>
      <c r="D8" s="439"/>
      <c r="E8" s="439"/>
      <c r="F8" s="440"/>
      <c r="G8" s="1"/>
      <c r="H8" s="438" t="str">
        <f>IFERROR(VLOOKUP($AF1,Data!$A:$AZ,10,FALSE),"")</f>
        <v/>
      </c>
      <c r="I8" s="439"/>
      <c r="J8" s="439"/>
      <c r="K8" s="440"/>
      <c r="L8" s="1"/>
      <c r="M8" s="438" t="str">
        <f>IFERROR(VLOOKUP($AF1,Data!$A:$AZ,11,FALSE),"")</f>
        <v/>
      </c>
      <c r="N8" s="439"/>
      <c r="O8" s="439"/>
      <c r="P8" s="440"/>
      <c r="Q8" s="1"/>
      <c r="R8" s="438" t="str">
        <f>IFERROR(VLOOKUP($AF1,Data!$A:$AZ,12,FALSE),"")</f>
        <v/>
      </c>
      <c r="S8" s="439"/>
      <c r="T8" s="439"/>
      <c r="U8" s="440"/>
      <c r="V8" s="1"/>
      <c r="W8" s="438" t="str">
        <f>IFERROR(VLOOKUP($AF1,Data!$A:$AZ,13,FALSE),"")</f>
        <v/>
      </c>
      <c r="X8" s="439"/>
      <c r="Y8" s="439"/>
      <c r="Z8" s="440"/>
      <c r="AA8" s="1"/>
      <c r="AB8" s="1"/>
      <c r="AC8" s="1"/>
      <c r="AD8" s="1"/>
      <c r="AE8" s="141"/>
      <c r="AF8" s="143"/>
      <c r="AG8" s="165"/>
      <c r="AH8" s="166"/>
      <c r="AI8" s="166"/>
      <c r="AJ8" s="166"/>
      <c r="AK8" s="183"/>
      <c r="AL8" s="167"/>
    </row>
    <row r="9" spans="1:38" ht="9.9499999999999993" customHeight="1">
      <c r="A9" s="131"/>
      <c r="B9" s="1"/>
      <c r="C9" s="441"/>
      <c r="D9" s="442"/>
      <c r="E9" s="442"/>
      <c r="F9" s="443"/>
      <c r="G9" s="1"/>
      <c r="H9" s="441"/>
      <c r="I9" s="442"/>
      <c r="J9" s="442"/>
      <c r="K9" s="443"/>
      <c r="L9" s="1"/>
      <c r="M9" s="441"/>
      <c r="N9" s="442"/>
      <c r="O9" s="442"/>
      <c r="P9" s="443"/>
      <c r="Q9" s="1"/>
      <c r="R9" s="441"/>
      <c r="S9" s="442"/>
      <c r="T9" s="442"/>
      <c r="U9" s="443"/>
      <c r="V9" s="1"/>
      <c r="W9" s="441"/>
      <c r="X9" s="442"/>
      <c r="Y9" s="442"/>
      <c r="Z9" s="443"/>
      <c r="AA9" s="1"/>
      <c r="AB9" s="1"/>
      <c r="AC9" s="1"/>
      <c r="AD9" s="1"/>
      <c r="AE9" s="141"/>
      <c r="AF9" s="143"/>
      <c r="AG9" s="165"/>
      <c r="AH9" s="166"/>
      <c r="AI9" s="166"/>
      <c r="AJ9" s="166"/>
      <c r="AK9" s="183"/>
      <c r="AL9" s="167"/>
    </row>
    <row r="10" spans="1:38" ht="9.9499999999999993" customHeight="1">
      <c r="A10" s="13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41"/>
      <c r="AF10" s="143"/>
      <c r="AG10" s="165"/>
      <c r="AH10" s="166"/>
      <c r="AI10" s="166"/>
      <c r="AJ10" s="166"/>
      <c r="AK10" s="183"/>
      <c r="AL10" s="167"/>
    </row>
    <row r="11" spans="1:38" ht="9.9499999999999993" customHeight="1">
      <c r="A11" s="131"/>
      <c r="B11" s="1"/>
      <c r="C11" s="41"/>
      <c r="D11" s="432" t="str">
        <f>IFERROR(VLOOKUP($AF1,Data!$A:$AZ,23,FALSE),"")</f>
        <v/>
      </c>
      <c r="E11" s="433"/>
      <c r="F11" s="433"/>
      <c r="G11" s="434"/>
      <c r="H11" s="41"/>
      <c r="I11" s="432" t="str">
        <f>IFERROR(VLOOKUP($AF1,Data!$A:$AZ,24,FALSE),"")</f>
        <v/>
      </c>
      <c r="J11" s="433"/>
      <c r="K11" s="433"/>
      <c r="L11" s="434"/>
      <c r="M11" s="41"/>
      <c r="N11" s="432" t="str">
        <f>IFERROR(VLOOKUP($AF1,Data!$A:$AZ,25,FALSE),"")</f>
        <v/>
      </c>
      <c r="O11" s="433"/>
      <c r="P11" s="433"/>
      <c r="Q11" s="434"/>
      <c r="R11" s="73"/>
      <c r="S11" s="432" t="str">
        <f>IFERROR(VLOOKUP($AF1,Data!$A:$AZ,26,FALSE),"")</f>
        <v/>
      </c>
      <c r="T11" s="433"/>
      <c r="U11" s="433"/>
      <c r="V11" s="433"/>
      <c r="W11" s="433"/>
      <c r="X11" s="433"/>
      <c r="Y11" s="433"/>
      <c r="Z11" s="433"/>
      <c r="AA11" s="434"/>
      <c r="AB11" s="1"/>
      <c r="AC11" s="41"/>
      <c r="AD11" s="41"/>
      <c r="AE11" s="141"/>
      <c r="AF11" s="143"/>
      <c r="AG11" s="414"/>
      <c r="AH11" s="415"/>
      <c r="AI11" s="415"/>
      <c r="AJ11" s="415"/>
      <c r="AK11" s="416"/>
      <c r="AL11" s="167"/>
    </row>
    <row r="12" spans="1:38" ht="9.9499999999999993" customHeight="1">
      <c r="A12" s="131"/>
      <c r="B12" s="1"/>
      <c r="C12" s="41"/>
      <c r="D12" s="435"/>
      <c r="E12" s="436"/>
      <c r="F12" s="436"/>
      <c r="G12" s="437"/>
      <c r="H12" s="41"/>
      <c r="I12" s="435"/>
      <c r="J12" s="436"/>
      <c r="K12" s="436"/>
      <c r="L12" s="437"/>
      <c r="M12" s="41"/>
      <c r="N12" s="435"/>
      <c r="O12" s="436"/>
      <c r="P12" s="436"/>
      <c r="Q12" s="437"/>
      <c r="R12" s="73"/>
      <c r="S12" s="435"/>
      <c r="T12" s="436"/>
      <c r="U12" s="436"/>
      <c r="V12" s="436"/>
      <c r="W12" s="436"/>
      <c r="X12" s="436"/>
      <c r="Y12" s="436"/>
      <c r="Z12" s="436"/>
      <c r="AA12" s="437"/>
      <c r="AB12" s="1"/>
      <c r="AC12" s="41"/>
      <c r="AD12" s="41"/>
      <c r="AE12" s="141"/>
      <c r="AF12" s="143"/>
      <c r="AG12" s="414"/>
      <c r="AH12" s="415"/>
      <c r="AI12" s="415"/>
      <c r="AJ12" s="415"/>
      <c r="AK12" s="416"/>
      <c r="AL12" s="167"/>
    </row>
    <row r="13" spans="1:38" ht="9.75" customHeight="1">
      <c r="A13" s="131"/>
      <c r="B13" s="1"/>
      <c r="C13" s="17">
        <v>28</v>
      </c>
      <c r="D13" s="75">
        <f>HLOOKUP($B$1,e!$A$1:$Z$55,C13,FALSE)</f>
        <v>1</v>
      </c>
      <c r="E13" s="8"/>
      <c r="F13" s="8"/>
      <c r="G13" s="8"/>
      <c r="H13" s="17">
        <v>29</v>
      </c>
      <c r="I13" s="75">
        <f>HLOOKUP($B$1,e!$A$1:$Z$55,H13,FALSE)</f>
        <v>2</v>
      </c>
      <c r="J13" s="8"/>
      <c r="K13" s="8"/>
      <c r="L13" s="8"/>
      <c r="M13" s="17">
        <v>30</v>
      </c>
      <c r="N13" s="75">
        <f>HLOOKUP($B$1,e!$A$1:$Z$55,M13,FALSE)</f>
        <v>3</v>
      </c>
      <c r="O13" s="8"/>
      <c r="P13" s="8"/>
      <c r="Q13" s="8"/>
      <c r="R13" s="17">
        <v>31</v>
      </c>
      <c r="S13" s="75">
        <f>HLOOKUP($B$1,e!$A$1:$Z$55,R13,FALSE)</f>
        <v>4</v>
      </c>
      <c r="T13" s="8"/>
      <c r="U13" s="8"/>
      <c r="V13" s="8"/>
      <c r="W13" s="1"/>
      <c r="X13" s="1"/>
      <c r="Y13" s="1"/>
      <c r="Z13" s="1"/>
      <c r="AA13" s="1"/>
      <c r="AB13" s="1"/>
      <c r="AC13" s="1"/>
      <c r="AD13" s="1"/>
      <c r="AE13" s="141"/>
      <c r="AF13" s="427">
        <v>1</v>
      </c>
      <c r="AG13" s="424" t="str">
        <f>HLOOKUP($B$1,e!$A$1:$Z$300,AL13,FALSE)</f>
        <v>Ningún círculo. Haga clic en el icono exterior hasta que no haya ningún círculo.</v>
      </c>
      <c r="AH13" s="425"/>
      <c r="AI13" s="425"/>
      <c r="AJ13" s="425"/>
      <c r="AK13" s="426"/>
      <c r="AL13" s="167">
        <v>202</v>
      </c>
    </row>
    <row r="14" spans="1:38" ht="9.9499999999999993" customHeight="1">
      <c r="A14" s="13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82"/>
      <c r="AF14" s="427"/>
      <c r="AG14" s="424"/>
      <c r="AH14" s="425"/>
      <c r="AI14" s="425"/>
      <c r="AJ14" s="425"/>
      <c r="AK14" s="426"/>
      <c r="AL14" s="167"/>
    </row>
    <row r="15" spans="1:38" ht="9.9499999999999993" customHeight="1">
      <c r="A15" s="13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82" t="str">
        <f>IFERROR(VLOOKUP($AF1,Data!$A:$AZ,14,FALSE),"")</f>
        <v/>
      </c>
      <c r="AF15" s="143"/>
      <c r="AG15" s="414" t="str">
        <f>HLOOKUP($B$1,e!$A$1:$Z$243,AL15,FALSE)</f>
        <v>No circule el símbolo si los miembros del grupo no tienen una forma habitual de participar en esta función.</v>
      </c>
      <c r="AH15" s="415"/>
      <c r="AI15" s="415"/>
      <c r="AJ15" s="415"/>
      <c r="AK15" s="416"/>
      <c r="AL15" s="167">
        <v>79</v>
      </c>
    </row>
    <row r="16" spans="1:38" ht="9.9499999999999993" customHeight="1">
      <c r="A16" s="13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82" t="str">
        <f>IFERROR(VLOOKUP($AF1,Data!$A:$AZ,15,FALSE),"")</f>
        <v/>
      </c>
      <c r="AF16" s="427"/>
      <c r="AG16" s="414"/>
      <c r="AH16" s="415"/>
      <c r="AI16" s="415"/>
      <c r="AJ16" s="415"/>
      <c r="AK16" s="416"/>
      <c r="AL16" s="167"/>
    </row>
    <row r="17" spans="1:38" ht="9.9499999999999993" customHeight="1">
      <c r="A17" s="13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82" t="str">
        <f>IFERROR(VLOOKUP($AF1,Data!$A:$AZ,16,FALSE),"")</f>
        <v/>
      </c>
      <c r="AF17" s="427"/>
      <c r="AG17" s="414"/>
      <c r="AH17" s="415"/>
      <c r="AI17" s="415"/>
      <c r="AJ17" s="415"/>
      <c r="AK17" s="416"/>
      <c r="AL17" s="167"/>
    </row>
    <row r="18" spans="1:38" ht="9.9499999999999993" customHeight="1">
      <c r="A18" s="13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82" t="str">
        <f>IFERROR(VLOOKUP($AF1,Data!$A:$AZ,17,FALSE),"")</f>
        <v/>
      </c>
      <c r="AF18" s="143"/>
      <c r="AG18" s="165"/>
      <c r="AH18" s="166"/>
      <c r="AI18" s="166"/>
      <c r="AJ18" s="166"/>
      <c r="AK18" s="183"/>
      <c r="AL18" s="167"/>
    </row>
    <row r="19" spans="1:38" ht="9.9499999999999993" customHeight="1">
      <c r="A19" s="13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82" t="str">
        <f>IFERROR(VLOOKUP($AF1,Data!$A:$AZ,18,FALSE),"")</f>
        <v/>
      </c>
      <c r="AF19" s="427">
        <v>2</v>
      </c>
      <c r="AG19" s="424" t="str">
        <f>HLOOKUP($B$1,e!$A$1:$Z$300,AL19,FALSE)</f>
        <v>Círculo sólido: exterior. Haga clic en un icono exterior para obtener un círculo sólido.</v>
      </c>
      <c r="AH19" s="425"/>
      <c r="AI19" s="425"/>
      <c r="AJ19" s="425"/>
      <c r="AK19" s="426"/>
      <c r="AL19" s="167">
        <v>203</v>
      </c>
    </row>
    <row r="20" spans="1:38" ht="9.9499999999999993" customHeight="1">
      <c r="A20" s="13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82" t="str">
        <f>IFERROR(VLOOKUP($AF1,Data!$A:$AZ,19,FALSE),"")</f>
        <v/>
      </c>
      <c r="AF20" s="427"/>
      <c r="AG20" s="424"/>
      <c r="AH20" s="425"/>
      <c r="AI20" s="425"/>
      <c r="AJ20" s="425"/>
      <c r="AK20" s="426"/>
      <c r="AL20" s="167"/>
    </row>
    <row r="21" spans="1:38" ht="9.9499999999999993" customHeight="1">
      <c r="A21" s="13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82" t="str">
        <f>IFERROR(VLOOKUP($AF1,Data!$A:$AZ,20,FALSE),"")</f>
        <v/>
      </c>
      <c r="AF21" s="143"/>
      <c r="AG21" s="414" t="str">
        <f>HLOOKUP($B$1,e!$A$1:$Z$243,AL21,FALSE)</f>
        <v>Circule el símbolo fuera del círculo mayor si el grupo no participa por sí solo, pero sí tiene otra forma de participar en esta función.</v>
      </c>
      <c r="AH21" s="415"/>
      <c r="AI21" s="415"/>
      <c r="AJ21" s="415"/>
      <c r="AK21" s="416"/>
      <c r="AL21" s="167">
        <v>78</v>
      </c>
    </row>
    <row r="22" spans="1:38" ht="9.9499999999999993" customHeight="1">
      <c r="A22" s="13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82" t="str">
        <f>IFERROR(VLOOKUP($AF1,Data!$A:$AZ,21,FALSE),"")</f>
        <v/>
      </c>
      <c r="AF22" s="427"/>
      <c r="AG22" s="414"/>
      <c r="AH22" s="415"/>
      <c r="AI22" s="415"/>
      <c r="AJ22" s="415"/>
      <c r="AK22" s="416"/>
      <c r="AL22" s="167"/>
    </row>
    <row r="23" spans="1:38" ht="9.9499999999999993" customHeight="1">
      <c r="A23" s="13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82" t="str">
        <f>IFERROR(VLOOKUP($AF1,Data!$A:$AZ,22,FALSE),"")</f>
        <v/>
      </c>
      <c r="AF23" s="427"/>
      <c r="AG23" s="414"/>
      <c r="AH23" s="415"/>
      <c r="AI23" s="415"/>
      <c r="AJ23" s="415"/>
      <c r="AK23" s="416"/>
      <c r="AL23" s="167"/>
    </row>
    <row r="24" spans="1:38" ht="9.9499999999999993" customHeight="1">
      <c r="A24" s="13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82" t="str">
        <f>IFERROR(VLOOKUP($AF1,Data!$A:$AZ,31,FALSE),"")</f>
        <v/>
      </c>
      <c r="AF24" s="143"/>
      <c r="AG24" s="165"/>
      <c r="AH24" s="166"/>
      <c r="AI24" s="166"/>
      <c r="AJ24" s="166"/>
      <c r="AK24" s="183"/>
      <c r="AL24" s="167"/>
    </row>
    <row r="25" spans="1:38" ht="9.9499999999999993" customHeight="1">
      <c r="A25" s="13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82"/>
      <c r="AF25" s="427">
        <v>3</v>
      </c>
      <c r="AG25" s="424" t="str">
        <f>HLOOKUP($B$1,e!$A$1:$Z$300,AL25,FALSE)</f>
        <v>Círculo de guiones: adentro. Haga clic en un icono interior una vez para obtener un círculo de guiones.</v>
      </c>
      <c r="AH25" s="425"/>
      <c r="AI25" s="425"/>
      <c r="AJ25" s="425"/>
      <c r="AK25" s="426"/>
      <c r="AL25" s="167">
        <v>204</v>
      </c>
    </row>
    <row r="26" spans="1:38" ht="9.9499999999999993" customHeight="1">
      <c r="A26" s="13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41"/>
      <c r="AF26" s="427"/>
      <c r="AG26" s="424"/>
      <c r="AH26" s="425"/>
      <c r="AI26" s="425"/>
      <c r="AJ26" s="425"/>
      <c r="AK26" s="426"/>
      <c r="AL26" s="167"/>
    </row>
    <row r="27" spans="1:38" ht="9.9499999999999993" customHeight="1">
      <c r="A27" s="13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41"/>
      <c r="AF27" s="143"/>
      <c r="AG27" s="414" t="str">
        <f>HLOOKUP($B$1,e!$A$1:$Z$243,AL27,FALSE)</f>
        <v>Circule el símbolo con una línea discontinua para las funciones en cuyo desarrollo está trabajando, o que puede ser capaz de realizar, pero que en realidad no realizó en este período de tiempo en particular.</v>
      </c>
      <c r="AH27" s="415"/>
      <c r="AI27" s="415"/>
      <c r="AJ27" s="415"/>
      <c r="AK27" s="416"/>
      <c r="AL27" s="167">
        <v>77</v>
      </c>
    </row>
    <row r="28" spans="1:38" ht="9.9499999999999993" customHeight="1">
      <c r="A28" s="13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41"/>
      <c r="AF28" s="427"/>
      <c r="AG28" s="414"/>
      <c r="AH28" s="415"/>
      <c r="AI28" s="415"/>
      <c r="AJ28" s="415"/>
      <c r="AK28" s="416"/>
      <c r="AL28" s="167"/>
    </row>
    <row r="29" spans="1:38" ht="9.9499999999999993" customHeight="1">
      <c r="A29" s="13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41"/>
      <c r="AF29" s="427"/>
      <c r="AG29" s="414"/>
      <c r="AH29" s="415"/>
      <c r="AI29" s="415"/>
      <c r="AJ29" s="415"/>
      <c r="AK29" s="416"/>
      <c r="AL29" s="167"/>
    </row>
    <row r="30" spans="1:38" ht="9.9499999999999993" customHeight="1">
      <c r="A30" s="13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41"/>
      <c r="AF30" s="143"/>
      <c r="AG30" s="165"/>
      <c r="AH30" s="166"/>
      <c r="AI30" s="166"/>
      <c r="AJ30" s="166"/>
      <c r="AK30" s="183"/>
      <c r="AL30" s="167"/>
    </row>
    <row r="31" spans="1:38" ht="9.9499999999999993" customHeight="1">
      <c r="A31" s="13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41"/>
      <c r="AF31" s="427">
        <v>4</v>
      </c>
      <c r="AG31" s="424" t="str">
        <f>HLOOKUP($B$1,e!$A$1:$Z$300,AL31,FALSE)</f>
        <v>Círculo sólido: interior. Vuelva a hacer clic en un icono interior para obtener un círculo sólido.</v>
      </c>
      <c r="AH31" s="425"/>
      <c r="AI31" s="425"/>
      <c r="AJ31" s="425"/>
      <c r="AK31" s="426"/>
      <c r="AL31" s="167">
        <v>205</v>
      </c>
    </row>
    <row r="32" spans="1:38" ht="9.9499999999999993" customHeight="1">
      <c r="A32" s="13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41"/>
      <c r="AF32" s="427"/>
      <c r="AG32" s="424"/>
      <c r="AH32" s="425"/>
      <c r="AI32" s="425"/>
      <c r="AJ32" s="425"/>
      <c r="AK32" s="426"/>
      <c r="AL32" s="167"/>
    </row>
    <row r="33" spans="1:38" ht="9.9499999999999993" customHeight="1">
      <c r="A33" s="13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41"/>
      <c r="AF33" s="143"/>
      <c r="AG33" s="414" t="str">
        <f>HLOOKUP($B$1,e!$A$1:$Z$243,AL33,FALSE)</f>
        <v>Circule con una línea continua el símbolo que está dentro del círculo mayor, si los miembros del grupo participan regularmente en una función sin ayuda externa.</v>
      </c>
      <c r="AH33" s="415"/>
      <c r="AI33" s="415"/>
      <c r="AJ33" s="415"/>
      <c r="AK33" s="416"/>
      <c r="AL33" s="167">
        <v>76</v>
      </c>
    </row>
    <row r="34" spans="1:38" ht="9.9499999999999993" customHeight="1">
      <c r="A34" s="13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41"/>
      <c r="AF34" s="427"/>
      <c r="AG34" s="414"/>
      <c r="AH34" s="415"/>
      <c r="AI34" s="415"/>
      <c r="AJ34" s="415"/>
      <c r="AK34" s="416"/>
      <c r="AL34" s="167"/>
    </row>
    <row r="35" spans="1:38" ht="9.9499999999999993" customHeight="1">
      <c r="A35" s="13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41"/>
      <c r="AF35" s="427"/>
      <c r="AG35" s="414"/>
      <c r="AH35" s="415"/>
      <c r="AI35" s="415"/>
      <c r="AJ35" s="415"/>
      <c r="AK35" s="416"/>
      <c r="AL35" s="167"/>
    </row>
    <row r="36" spans="1:38" ht="9.9499999999999993" customHeight="1">
      <c r="A36" s="13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41"/>
      <c r="AF36" s="143"/>
      <c r="AG36" s="165"/>
      <c r="AH36" s="166"/>
      <c r="AI36" s="166"/>
      <c r="AJ36" s="166"/>
      <c r="AK36" s="183"/>
      <c r="AL36" s="167"/>
    </row>
    <row r="37" spans="1:38" ht="9.9499999999999993" customHeight="1">
      <c r="A37" s="13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41"/>
      <c r="AF37" s="427"/>
      <c r="AG37" s="414"/>
      <c r="AH37" s="415"/>
      <c r="AI37" s="415"/>
      <c r="AJ37" s="415"/>
      <c r="AK37" s="416"/>
      <c r="AL37" s="167"/>
    </row>
    <row r="38" spans="1:38" ht="9.9499999999999993" customHeight="1">
      <c r="A38" s="13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41"/>
      <c r="AF38" s="427"/>
      <c r="AG38" s="414"/>
      <c r="AH38" s="415"/>
      <c r="AI38" s="415"/>
      <c r="AJ38" s="415"/>
      <c r="AK38" s="416"/>
      <c r="AL38" s="167"/>
    </row>
    <row r="39" spans="1:38" ht="9.9499999999999993" customHeight="1">
      <c r="A39" s="13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41"/>
      <c r="AF39" s="143"/>
      <c r="AG39" s="165"/>
      <c r="AH39" s="166"/>
      <c r="AI39" s="166"/>
      <c r="AJ39" s="166"/>
      <c r="AK39" s="183"/>
      <c r="AL39" s="167"/>
    </row>
    <row r="40" spans="1:38" ht="9.9499999999999993" customHeight="1">
      <c r="A40" s="13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41"/>
      <c r="AF40" s="143"/>
      <c r="AG40" s="165"/>
      <c r="AH40" s="166"/>
      <c r="AI40" s="166"/>
      <c r="AJ40" s="166"/>
      <c r="AK40" s="183"/>
      <c r="AL40" s="167"/>
    </row>
    <row r="41" spans="1:38" ht="9.9499999999999993" customHeight="1">
      <c r="A41" s="13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41"/>
      <c r="AF41" s="427">
        <v>3</v>
      </c>
      <c r="AG41" s="424" t="str">
        <f>HLOOKUP($B$1,e!$A$1:$Z$300,AL41,FALSE)</f>
        <v>Haga clic en el círculo grande una vez para obtener un círculo de guiones.</v>
      </c>
      <c r="AH41" s="425"/>
      <c r="AI41" s="425"/>
      <c r="AJ41" s="425"/>
      <c r="AK41" s="426"/>
      <c r="AL41" s="167">
        <v>207</v>
      </c>
    </row>
    <row r="42" spans="1:38" ht="9.9499999999999993" customHeight="1">
      <c r="A42" s="13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41"/>
      <c r="AF42" s="427"/>
      <c r="AG42" s="424"/>
      <c r="AH42" s="425"/>
      <c r="AI42" s="425"/>
      <c r="AJ42" s="425"/>
      <c r="AK42" s="426"/>
      <c r="AL42" s="167"/>
    </row>
    <row r="43" spans="1:38" ht="9.9499999999999993" customHeight="1">
      <c r="A43" s="13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41"/>
      <c r="AF43" s="143"/>
      <c r="AG43" s="165"/>
      <c r="AH43" s="166"/>
      <c r="AI43" s="166"/>
      <c r="AJ43" s="166"/>
      <c r="AK43" s="183"/>
      <c r="AL43" s="167"/>
    </row>
    <row r="44" spans="1:38" ht="9.9499999999999993" customHeight="1">
      <c r="A44" s="131"/>
      <c r="B44" s="17">
        <v>3</v>
      </c>
      <c r="C44" s="17">
        <v>4</v>
      </c>
      <c r="D44" s="17">
        <v>5</v>
      </c>
      <c r="E44" s="17">
        <v>6</v>
      </c>
      <c r="F44" s="17">
        <v>7</v>
      </c>
      <c r="G44" s="17">
        <v>8</v>
      </c>
      <c r="H44" s="17">
        <v>9</v>
      </c>
      <c r="I44" s="17">
        <v>10</v>
      </c>
      <c r="J44" s="17">
        <v>11</v>
      </c>
      <c r="K44" s="17">
        <v>12</v>
      </c>
      <c r="L44" s="17">
        <v>17</v>
      </c>
      <c r="M44" s="17">
        <v>34</v>
      </c>
      <c r="N44" s="17">
        <v>40</v>
      </c>
      <c r="O44" s="17"/>
      <c r="P44" s="17"/>
      <c r="Q44" s="17"/>
      <c r="R44" s="17"/>
      <c r="S44" s="1"/>
      <c r="T44" s="1"/>
      <c r="U44" s="1"/>
      <c r="V44" s="1"/>
      <c r="W44" s="1"/>
      <c r="X44" s="1"/>
      <c r="Y44" s="1"/>
      <c r="Z44" s="1"/>
      <c r="AA44" s="1"/>
      <c r="AB44" s="1"/>
      <c r="AC44" s="1"/>
      <c r="AD44" s="1"/>
      <c r="AE44" s="141"/>
      <c r="AF44" s="143"/>
      <c r="AG44" s="414" t="str">
        <f>HLOOKUP($B$1,e!$A$1:$Z$243,AL44,FALSE)</f>
        <v>Deje la línea discontinua si el grupo no se ha comprometido como una iglesia.</v>
      </c>
      <c r="AH44" s="415"/>
      <c r="AI44" s="415"/>
      <c r="AJ44" s="415"/>
      <c r="AK44" s="416"/>
      <c r="AL44" s="167">
        <v>73</v>
      </c>
    </row>
    <row r="45" spans="1:38" ht="9.9499999999999993" customHeight="1">
      <c r="A45" s="136"/>
      <c r="B45" s="361" t="str">
        <f>IFERROR(VLOOKUP($AF1,Data!$A:$AZ,4,FALSE),"")</f>
        <v/>
      </c>
      <c r="C45" s="362"/>
      <c r="D45" s="362"/>
      <c r="E45" s="362"/>
      <c r="F45" s="362"/>
      <c r="G45" s="362"/>
      <c r="H45" s="362"/>
      <c r="I45" s="362"/>
      <c r="J45" s="362"/>
      <c r="K45" s="362"/>
      <c r="L45" s="362"/>
      <c r="M45" s="362"/>
      <c r="N45" s="362"/>
      <c r="O45" s="362"/>
      <c r="P45" s="362"/>
      <c r="Q45" s="362"/>
      <c r="R45" s="363"/>
      <c r="S45" s="133"/>
      <c r="T45" s="379" t="str">
        <f>IFERROR(VLOOKUP($AF1,Data!$A:$AZ,5,FALSE),"")</f>
        <v/>
      </c>
      <c r="U45" s="380"/>
      <c r="V45" s="380"/>
      <c r="W45" s="380"/>
      <c r="X45" s="381"/>
      <c r="Y45" s="133"/>
      <c r="Z45" s="385" t="str">
        <f>IFERROR(VLOOKUP($AF1,Data!$A:$AZ,6,FALSE),"")</f>
        <v/>
      </c>
      <c r="AA45" s="386"/>
      <c r="AB45" s="387"/>
      <c r="AC45" s="1"/>
      <c r="AD45" s="1"/>
      <c r="AE45" s="141"/>
      <c r="AF45" s="427"/>
      <c r="AG45" s="414"/>
      <c r="AH45" s="415"/>
      <c r="AI45" s="415"/>
      <c r="AJ45" s="415"/>
      <c r="AK45" s="416"/>
      <c r="AL45" s="167"/>
    </row>
    <row r="46" spans="1:38" ht="9.9499999999999993" customHeight="1">
      <c r="A46" s="136"/>
      <c r="B46" s="364"/>
      <c r="C46" s="365"/>
      <c r="D46" s="365"/>
      <c r="E46" s="365"/>
      <c r="F46" s="365"/>
      <c r="G46" s="365"/>
      <c r="H46" s="365"/>
      <c r="I46" s="365"/>
      <c r="J46" s="365"/>
      <c r="K46" s="365"/>
      <c r="L46" s="365"/>
      <c r="M46" s="365"/>
      <c r="N46" s="365"/>
      <c r="O46" s="365"/>
      <c r="P46" s="365"/>
      <c r="Q46" s="365"/>
      <c r="R46" s="366"/>
      <c r="S46" s="133"/>
      <c r="T46" s="382"/>
      <c r="U46" s="383"/>
      <c r="V46" s="383"/>
      <c r="W46" s="383"/>
      <c r="X46" s="384"/>
      <c r="Y46" s="133"/>
      <c r="Z46" s="388"/>
      <c r="AA46" s="389"/>
      <c r="AB46" s="390"/>
      <c r="AC46" s="1"/>
      <c r="AD46" s="1"/>
      <c r="AE46" s="141"/>
      <c r="AF46" s="427"/>
      <c r="AG46" s="414"/>
      <c r="AH46" s="415"/>
      <c r="AI46" s="415"/>
      <c r="AJ46" s="415"/>
      <c r="AK46" s="416"/>
      <c r="AL46" s="167"/>
    </row>
    <row r="47" spans="1:38" ht="9.9499999999999993" customHeight="1">
      <c r="A47" s="136"/>
      <c r="B47" s="28" t="str">
        <f>HLOOKUP($B$1,e!$A$1:$Z$55,B44,FALSE)</f>
        <v>Nombre del grupo / iglesia</v>
      </c>
      <c r="C47" s="33"/>
      <c r="D47" s="28"/>
      <c r="E47" s="28"/>
      <c r="F47" s="28"/>
      <c r="G47" s="28"/>
      <c r="H47" s="28"/>
      <c r="I47" s="28"/>
      <c r="J47" s="28"/>
      <c r="K47" s="28"/>
      <c r="L47" s="28"/>
      <c r="M47" s="28"/>
      <c r="N47" s="33"/>
      <c r="O47" s="33"/>
      <c r="P47" s="28"/>
      <c r="Q47" s="28"/>
      <c r="R47" s="28"/>
      <c r="S47" s="17"/>
      <c r="T47" s="28" t="str">
        <f>HLOOKUP($B$1,e!$A$1:$Z$55,C44,FALSE)</f>
        <v>Fecha de Inicio</v>
      </c>
      <c r="U47" s="28"/>
      <c r="V47" s="33"/>
      <c r="W47" s="33"/>
      <c r="X47" s="28"/>
      <c r="Y47" s="17"/>
      <c r="Z47" s="134" t="str">
        <f>HLOOKUP($B$1,e!$A$1:$Z$55,D44,FALSE)</f>
        <v>Generación</v>
      </c>
      <c r="AA47" s="28"/>
      <c r="AB47" s="28"/>
      <c r="AC47" s="1"/>
      <c r="AD47" s="1"/>
      <c r="AE47" s="141"/>
      <c r="AF47" s="143"/>
      <c r="AG47" s="165"/>
      <c r="AH47" s="166"/>
      <c r="AI47" s="166"/>
      <c r="AJ47" s="166"/>
      <c r="AK47" s="183"/>
      <c r="AL47" s="167"/>
    </row>
    <row r="48" spans="1:38" ht="9.9499999999999993" customHeight="1">
      <c r="A48" s="136"/>
      <c r="B48" s="361" t="str">
        <f>IFERROR(VLOOKUP($AF1,Data!$A:$AZ,3,FALSE),"")</f>
        <v/>
      </c>
      <c r="C48" s="362"/>
      <c r="D48" s="362"/>
      <c r="E48" s="362"/>
      <c r="F48" s="362"/>
      <c r="G48" s="362"/>
      <c r="H48" s="362"/>
      <c r="I48" s="362"/>
      <c r="J48" s="362"/>
      <c r="K48" s="362"/>
      <c r="L48" s="362"/>
      <c r="M48" s="362"/>
      <c r="N48" s="363"/>
      <c r="O48" s="28"/>
      <c r="P48" s="361" t="str">
        <f>IFERROR(VLOOKUP($AF1,Data!$A:$AZ,7,FALSE),"")</f>
        <v/>
      </c>
      <c r="Q48" s="362"/>
      <c r="R48" s="362"/>
      <c r="S48" s="362"/>
      <c r="T48" s="362"/>
      <c r="U48" s="362"/>
      <c r="V48" s="362"/>
      <c r="W48" s="362"/>
      <c r="X48" s="362"/>
      <c r="Y48" s="362"/>
      <c r="Z48" s="362"/>
      <c r="AA48" s="362"/>
      <c r="AB48" s="363"/>
      <c r="AC48" s="1"/>
      <c r="AD48" s="1"/>
      <c r="AE48" s="141"/>
      <c r="AF48" s="427">
        <v>4</v>
      </c>
      <c r="AG48" s="424" t="str">
        <f>HLOOKUP($B$1,e!$A$1:$Z$300,AL48,FALSE)</f>
        <v>Haga clic en el círculo grande nuevamente para obtener un círculo sólido.</v>
      </c>
      <c r="AH48" s="425"/>
      <c r="AI48" s="425"/>
      <c r="AJ48" s="425"/>
      <c r="AK48" s="426"/>
      <c r="AL48" s="167">
        <v>208</v>
      </c>
    </row>
    <row r="49" spans="1:38" ht="9.9499999999999993" customHeight="1">
      <c r="A49" s="136"/>
      <c r="B49" s="364"/>
      <c r="C49" s="365"/>
      <c r="D49" s="365"/>
      <c r="E49" s="365"/>
      <c r="F49" s="365"/>
      <c r="G49" s="365"/>
      <c r="H49" s="365"/>
      <c r="I49" s="365"/>
      <c r="J49" s="365"/>
      <c r="K49" s="365"/>
      <c r="L49" s="365"/>
      <c r="M49" s="365"/>
      <c r="N49" s="366"/>
      <c r="O49" s="28"/>
      <c r="P49" s="364"/>
      <c r="Q49" s="365"/>
      <c r="R49" s="365"/>
      <c r="S49" s="365"/>
      <c r="T49" s="365"/>
      <c r="U49" s="365"/>
      <c r="V49" s="365"/>
      <c r="W49" s="365"/>
      <c r="X49" s="365"/>
      <c r="Y49" s="365"/>
      <c r="Z49" s="365"/>
      <c r="AA49" s="365"/>
      <c r="AB49" s="366"/>
      <c r="AC49" s="1"/>
      <c r="AD49" s="1"/>
      <c r="AE49" s="141"/>
      <c r="AF49" s="427"/>
      <c r="AG49" s="424"/>
      <c r="AH49" s="425"/>
      <c r="AI49" s="425"/>
      <c r="AJ49" s="425"/>
      <c r="AK49" s="426"/>
      <c r="AL49" s="167"/>
    </row>
    <row r="50" spans="1:38" ht="9.9499999999999993" customHeight="1">
      <c r="A50" s="136"/>
      <c r="B50" s="28" t="str">
        <f>HLOOKUP($B$1,e!$A$1:$Z$55,E44,FALSE)</f>
        <v>Nombre del líder</v>
      </c>
      <c r="C50" s="28"/>
      <c r="D50" s="28"/>
      <c r="E50" s="28"/>
      <c r="F50" s="28"/>
      <c r="G50" s="28"/>
      <c r="H50" s="28"/>
      <c r="I50" s="28"/>
      <c r="J50" s="28"/>
      <c r="K50" s="28"/>
      <c r="L50" s="28"/>
      <c r="M50" s="28"/>
      <c r="N50" s="33"/>
      <c r="O50" s="33"/>
      <c r="P50" s="28" t="str">
        <f>HLOOKUP($B$1,e!$A$1:$Z$55,F44,FALSE)</f>
        <v>Ubicación</v>
      </c>
      <c r="Q50" s="28"/>
      <c r="R50" s="28"/>
      <c r="S50" s="28"/>
      <c r="T50" s="28"/>
      <c r="U50" s="28"/>
      <c r="V50" s="28"/>
      <c r="W50" s="28"/>
      <c r="X50" s="28"/>
      <c r="Y50" s="28"/>
      <c r="Z50" s="28"/>
      <c r="AA50" s="28"/>
      <c r="AB50" s="28"/>
      <c r="AC50" s="1"/>
      <c r="AD50" s="1"/>
      <c r="AE50" s="141"/>
      <c r="AF50" s="143"/>
      <c r="AG50" s="165"/>
      <c r="AH50" s="166"/>
      <c r="AI50" s="166"/>
      <c r="AJ50" s="166"/>
      <c r="AK50" s="183"/>
      <c r="AL50" s="167"/>
    </row>
    <row r="51" spans="1:38" ht="9.9499999999999993" customHeight="1">
      <c r="A51" s="136"/>
      <c r="B51" s="361" t="str">
        <f>IFERROR(VLOOKUP($AF1,Data!$A:$AZ,8,FALSE),"")</f>
        <v/>
      </c>
      <c r="C51" s="362"/>
      <c r="D51" s="362"/>
      <c r="E51" s="362"/>
      <c r="F51" s="362"/>
      <c r="G51" s="362"/>
      <c r="H51" s="362"/>
      <c r="I51" s="362"/>
      <c r="J51" s="362"/>
      <c r="K51" s="362"/>
      <c r="L51" s="362"/>
      <c r="M51" s="362"/>
      <c r="N51" s="363"/>
      <c r="O51" s="28"/>
      <c r="P51" s="361" t="e">
        <f>IF(VLOOKUP($AF1,Data!$A:$AZ,37,FALSE)&lt;&gt;"",VLOOKUP($AF1,Data!$A:$AZ,37,FALSE),Data!D4)</f>
        <v>#N/A</v>
      </c>
      <c r="Q51" s="362"/>
      <c r="R51" s="362"/>
      <c r="S51" s="362"/>
      <c r="T51" s="362"/>
      <c r="U51" s="362"/>
      <c r="V51" s="362"/>
      <c r="W51" s="362"/>
      <c r="X51" s="362"/>
      <c r="Y51" s="362"/>
      <c r="Z51" s="362"/>
      <c r="AA51" s="362"/>
      <c r="AB51" s="363"/>
      <c r="AC51" s="1"/>
      <c r="AD51" s="1"/>
      <c r="AE51" s="141"/>
      <c r="AF51" s="143"/>
      <c r="AG51" s="414" t="str">
        <f>HLOOKUP($B$1,e!$A$1:$Z$243,AL51,FALSE)</f>
        <v>Use una línea sólida si el grupo se ha comprometido como una iglesia.</v>
      </c>
      <c r="AH51" s="415"/>
      <c r="AI51" s="415"/>
      <c r="AJ51" s="415"/>
      <c r="AK51" s="416"/>
      <c r="AL51" s="167">
        <v>72</v>
      </c>
    </row>
    <row r="52" spans="1:38" ht="9.9499999999999993" customHeight="1">
      <c r="A52" s="136"/>
      <c r="B52" s="364"/>
      <c r="C52" s="365"/>
      <c r="D52" s="365"/>
      <c r="E52" s="365"/>
      <c r="F52" s="365"/>
      <c r="G52" s="365"/>
      <c r="H52" s="365"/>
      <c r="I52" s="365"/>
      <c r="J52" s="365"/>
      <c r="K52" s="365"/>
      <c r="L52" s="365"/>
      <c r="M52" s="365"/>
      <c r="N52" s="366"/>
      <c r="O52" s="28"/>
      <c r="P52" s="364"/>
      <c r="Q52" s="365"/>
      <c r="R52" s="365"/>
      <c r="S52" s="365"/>
      <c r="T52" s="365"/>
      <c r="U52" s="365"/>
      <c r="V52" s="365"/>
      <c r="W52" s="365"/>
      <c r="X52" s="365"/>
      <c r="Y52" s="365"/>
      <c r="Z52" s="365"/>
      <c r="AA52" s="365"/>
      <c r="AB52" s="366"/>
      <c r="AC52" s="1"/>
      <c r="AD52" s="1"/>
      <c r="AE52" s="141"/>
      <c r="AF52" s="143"/>
      <c r="AG52" s="414"/>
      <c r="AH52" s="415"/>
      <c r="AI52" s="415"/>
      <c r="AJ52" s="415"/>
      <c r="AK52" s="416"/>
      <c r="AL52" s="167"/>
    </row>
    <row r="53" spans="1:38" ht="9.9499999999999993" customHeight="1">
      <c r="A53" s="136"/>
      <c r="B53" s="28" t="str">
        <f>HLOOKUP($B$1,e!$A$1:$Z$55,G44,FALSE)</f>
        <v>Grupo Madre / Iglesia</v>
      </c>
      <c r="C53" s="28"/>
      <c r="D53" s="28"/>
      <c r="E53" s="28"/>
      <c r="F53" s="28"/>
      <c r="G53" s="28"/>
      <c r="H53" s="28"/>
      <c r="I53" s="28"/>
      <c r="J53" s="28"/>
      <c r="K53" s="28"/>
      <c r="L53" s="28"/>
      <c r="M53" s="28"/>
      <c r="N53" s="33"/>
      <c r="O53" s="33"/>
      <c r="P53" s="28" t="str">
        <f>HLOOKUP($B$1,e!$A$1:$Z$55,H44,FALSE)</f>
        <v>Nombre del socio</v>
      </c>
      <c r="Q53" s="33"/>
      <c r="R53" s="28"/>
      <c r="S53" s="28"/>
      <c r="T53" s="28"/>
      <c r="U53" s="28"/>
      <c r="V53" s="28"/>
      <c r="W53" s="28"/>
      <c r="X53" s="28"/>
      <c r="Y53" s="28"/>
      <c r="Z53" s="28"/>
      <c r="AA53" s="28"/>
      <c r="AB53" s="28"/>
      <c r="AC53" s="1"/>
      <c r="AD53" s="1"/>
      <c r="AE53" s="141"/>
      <c r="AF53" s="143"/>
      <c r="AG53" s="414"/>
      <c r="AH53" s="415"/>
      <c r="AI53" s="415"/>
      <c r="AJ53" s="415"/>
      <c r="AK53" s="416"/>
      <c r="AL53" s="167"/>
    </row>
    <row r="54" spans="1:38" ht="9.9499999999999993" customHeight="1">
      <c r="A54" s="136"/>
      <c r="B54" s="379" t="e">
        <f>IF(VLOOKUP($AF1,Data!$A:$AZ,34,FALSE)&lt;&gt;"",VLOOKUP($AF1,Data!$A:$AZ,34,FALSE),Data!E6)</f>
        <v>#N/A</v>
      </c>
      <c r="C54" s="380"/>
      <c r="D54" s="380"/>
      <c r="E54" s="380"/>
      <c r="F54" s="381"/>
      <c r="G54" s="137"/>
      <c r="H54" s="379" t="e">
        <f>IF(VLOOKUP($AF1,Data!$A:$AZ,35,FALSE)&lt;&gt;"",VLOOKUP($AF1,Data!$A:$AZ,35,FALSE),Data!E7)</f>
        <v>#N/A</v>
      </c>
      <c r="I54" s="380"/>
      <c r="J54" s="380"/>
      <c r="K54" s="380"/>
      <c r="L54" s="381"/>
      <c r="M54" s="28"/>
      <c r="N54" s="379" t="e">
        <f>IF(VLOOKUP($AF1,Data!$A:$AZ,36,FALSE)&lt;&gt;"",VLOOKUP($AF1,Data!$A:$AZ,36,FALSE),Data!E8)</f>
        <v>#N/A</v>
      </c>
      <c r="O54" s="380"/>
      <c r="P54" s="380"/>
      <c r="Q54" s="380"/>
      <c r="R54" s="381"/>
      <c r="S54" s="28"/>
      <c r="T54" s="361" t="str">
        <f>IFERROR(VLOOKUP($AF1,Data!$A:$AZ,29,FALSE),"")</f>
        <v/>
      </c>
      <c r="U54" s="362"/>
      <c r="V54" s="362"/>
      <c r="W54" s="362"/>
      <c r="X54" s="362"/>
      <c r="Y54" s="362"/>
      <c r="Z54" s="362"/>
      <c r="AA54" s="362"/>
      <c r="AB54" s="363"/>
      <c r="AC54" s="29"/>
      <c r="AD54" s="29"/>
      <c r="AE54" s="141"/>
      <c r="AF54" s="143"/>
      <c r="AG54" s="165"/>
      <c r="AH54" s="166"/>
      <c r="AI54" s="166"/>
      <c r="AJ54" s="166"/>
      <c r="AK54" s="183"/>
      <c r="AL54" s="167"/>
    </row>
    <row r="55" spans="1:38" ht="9.9499999999999993" customHeight="1">
      <c r="A55" s="136"/>
      <c r="B55" s="382"/>
      <c r="C55" s="383"/>
      <c r="D55" s="383"/>
      <c r="E55" s="383"/>
      <c r="F55" s="384"/>
      <c r="G55" s="137"/>
      <c r="H55" s="382"/>
      <c r="I55" s="383"/>
      <c r="J55" s="383"/>
      <c r="K55" s="383"/>
      <c r="L55" s="384"/>
      <c r="M55" s="28"/>
      <c r="N55" s="382"/>
      <c r="O55" s="383"/>
      <c r="P55" s="383"/>
      <c r="Q55" s="383"/>
      <c r="R55" s="384"/>
      <c r="S55" s="28"/>
      <c r="T55" s="364"/>
      <c r="U55" s="365"/>
      <c r="V55" s="365"/>
      <c r="W55" s="365"/>
      <c r="X55" s="365"/>
      <c r="Y55" s="365"/>
      <c r="Z55" s="365"/>
      <c r="AA55" s="365"/>
      <c r="AB55" s="366"/>
      <c r="AC55" s="1"/>
      <c r="AD55" s="1"/>
      <c r="AE55" s="141"/>
      <c r="AF55" s="143"/>
      <c r="AG55" s="165"/>
      <c r="AH55" s="166"/>
      <c r="AI55" s="166"/>
      <c r="AJ55" s="166"/>
      <c r="AK55" s="183"/>
      <c r="AL55" s="167"/>
    </row>
    <row r="56" spans="1:38" ht="9.9499999999999993" customHeight="1">
      <c r="A56" s="136"/>
      <c r="B56" s="344" t="str">
        <f>HLOOKUP($B$1,e!$A$1:$Z$55,I44,FALSE)</f>
        <v>Desde</v>
      </c>
      <c r="C56" s="344"/>
      <c r="D56" s="344"/>
      <c r="E56" s="344"/>
      <c r="F56" s="344"/>
      <c r="G56" s="32"/>
      <c r="H56" s="344" t="str">
        <f>HLOOKUP($B$1,e!$A$1:$Z$55,J44,FALSE)</f>
        <v>Hasta</v>
      </c>
      <c r="I56" s="344"/>
      <c r="J56" s="344"/>
      <c r="K56" s="344"/>
      <c r="L56" s="344"/>
      <c r="M56" s="32"/>
      <c r="N56" s="344" t="str">
        <f>HLOOKUP($B$1,e!$A$1:$Z$55,K44,FALSE)</f>
        <v>Reunido</v>
      </c>
      <c r="O56" s="344"/>
      <c r="P56" s="344"/>
      <c r="Q56" s="344"/>
      <c r="R56" s="344"/>
      <c r="S56" s="31"/>
      <c r="T56" s="28" t="str">
        <f>HLOOKUP($B$1,e!$A$1:$Z$55,L44,FALSE)</f>
        <v>Entrenador</v>
      </c>
      <c r="U56" s="28"/>
      <c r="V56" s="28"/>
      <c r="W56" s="28"/>
      <c r="X56" s="28"/>
      <c r="Y56" s="28"/>
      <c r="Z56" s="28"/>
      <c r="AA56" s="28"/>
      <c r="AB56" s="28"/>
      <c r="AC56" s="1"/>
      <c r="AD56" s="1"/>
      <c r="AE56" s="141"/>
      <c r="AF56" s="143"/>
      <c r="AG56" s="165"/>
      <c r="AH56" s="166"/>
      <c r="AI56" s="166"/>
      <c r="AJ56" s="166"/>
      <c r="AK56" s="183"/>
      <c r="AL56" s="167"/>
    </row>
    <row r="57" spans="1:38" ht="9.9499999999999993" customHeight="1">
      <c r="A57" s="136"/>
      <c r="B57" s="345" t="str">
        <f>HLOOKUP($B$1,e!$A$1:$Z$55,M44,FALSE)</f>
        <v>(ingrese las fechas en las 3 casillas de arriba)</v>
      </c>
      <c r="C57" s="345"/>
      <c r="D57" s="345"/>
      <c r="E57" s="345"/>
      <c r="F57" s="345"/>
      <c r="G57" s="345"/>
      <c r="H57" s="345"/>
      <c r="I57" s="345"/>
      <c r="J57" s="345"/>
      <c r="K57" s="345"/>
      <c r="L57" s="345"/>
      <c r="M57" s="345"/>
      <c r="N57" s="345"/>
      <c r="O57" s="345"/>
      <c r="P57" s="345"/>
      <c r="Q57" s="345"/>
      <c r="R57" s="345"/>
      <c r="S57" s="31"/>
      <c r="T57" s="31"/>
      <c r="U57" s="31"/>
      <c r="V57" s="31"/>
      <c r="W57" s="31"/>
      <c r="X57" s="31"/>
      <c r="Y57" s="31"/>
      <c r="Z57" s="77"/>
      <c r="AA57" s="28"/>
      <c r="AB57" s="28"/>
      <c r="AC57" s="1"/>
      <c r="AD57" s="1"/>
      <c r="AE57" s="141"/>
      <c r="AF57" s="143"/>
      <c r="AG57" s="165"/>
      <c r="AH57" s="166"/>
      <c r="AI57" s="166"/>
      <c r="AJ57" s="166"/>
      <c r="AK57" s="183"/>
      <c r="AL57" s="167"/>
    </row>
    <row r="58" spans="1:38" ht="9.9499999999999993" customHeight="1">
      <c r="A58" s="136"/>
      <c r="B58" s="138"/>
      <c r="C58" s="418" t="str">
        <f>IFERROR(VLOOKUP($AF1,Data!$A:$AZ,30,FALSE),"")</f>
        <v/>
      </c>
      <c r="D58" s="419"/>
      <c r="E58" s="419"/>
      <c r="F58" s="419"/>
      <c r="G58" s="419"/>
      <c r="H58" s="419"/>
      <c r="I58" s="419"/>
      <c r="J58" s="419"/>
      <c r="K58" s="419"/>
      <c r="L58" s="419"/>
      <c r="M58" s="419"/>
      <c r="N58" s="419"/>
      <c r="O58" s="419"/>
      <c r="P58" s="419"/>
      <c r="Q58" s="419"/>
      <c r="R58" s="419"/>
      <c r="S58" s="419"/>
      <c r="T58" s="419"/>
      <c r="U58" s="419"/>
      <c r="V58" s="419"/>
      <c r="W58" s="419"/>
      <c r="X58" s="419"/>
      <c r="Y58" s="419"/>
      <c r="Z58" s="419"/>
      <c r="AA58" s="420"/>
      <c r="AB58" s="31"/>
      <c r="AC58" s="1"/>
      <c r="AD58" s="1"/>
      <c r="AE58" s="141"/>
      <c r="AF58" s="143"/>
      <c r="AG58" s="414"/>
      <c r="AH58" s="415"/>
      <c r="AI58" s="415"/>
      <c r="AJ58" s="415"/>
      <c r="AK58" s="416"/>
      <c r="AL58" s="167"/>
    </row>
    <row r="59" spans="1:38" ht="9.9499999999999993" customHeight="1">
      <c r="A59" s="136"/>
      <c r="B59" s="80"/>
      <c r="C59" s="421"/>
      <c r="D59" s="422"/>
      <c r="E59" s="422"/>
      <c r="F59" s="422"/>
      <c r="G59" s="422"/>
      <c r="H59" s="422"/>
      <c r="I59" s="422"/>
      <c r="J59" s="422"/>
      <c r="K59" s="422"/>
      <c r="L59" s="422"/>
      <c r="M59" s="422"/>
      <c r="N59" s="422"/>
      <c r="O59" s="422"/>
      <c r="P59" s="422"/>
      <c r="Q59" s="422"/>
      <c r="R59" s="422"/>
      <c r="S59" s="422"/>
      <c r="T59" s="422"/>
      <c r="U59" s="422"/>
      <c r="V59" s="422"/>
      <c r="W59" s="422"/>
      <c r="X59" s="422"/>
      <c r="Y59" s="422"/>
      <c r="Z59" s="422"/>
      <c r="AA59" s="423"/>
      <c r="AB59" s="31"/>
      <c r="AC59" s="16"/>
      <c r="AD59" s="16"/>
      <c r="AE59" s="141"/>
      <c r="AF59" s="143"/>
      <c r="AG59" s="414"/>
      <c r="AH59" s="415"/>
      <c r="AI59" s="415"/>
      <c r="AJ59" s="415"/>
      <c r="AK59" s="416"/>
      <c r="AL59" s="167">
        <v>263</v>
      </c>
    </row>
    <row r="60" spans="1:38" ht="9.9499999999999993" customHeight="1">
      <c r="A60" s="136"/>
      <c r="B60" s="139"/>
      <c r="C60" s="78" t="str">
        <f>HLOOKUP($B$1,e!$A$1:$Z$55,N44,FALSE)</f>
        <v>carné de identidad</v>
      </c>
      <c r="D60" s="1"/>
      <c r="E60" s="1"/>
      <c r="F60" s="1"/>
      <c r="G60" s="1"/>
      <c r="H60" s="1"/>
      <c r="I60" s="1"/>
      <c r="J60" s="1"/>
      <c r="K60" s="1"/>
      <c r="L60" s="1"/>
      <c r="M60" s="1"/>
      <c r="N60" s="1"/>
      <c r="O60" s="1"/>
      <c r="P60" s="1"/>
      <c r="Q60" s="1"/>
      <c r="R60" s="1"/>
      <c r="S60" s="1"/>
      <c r="T60" s="1"/>
      <c r="U60" s="1"/>
      <c r="V60" s="1"/>
      <c r="W60" s="1"/>
      <c r="X60" s="1"/>
      <c r="Y60" s="1"/>
      <c r="Z60" s="1"/>
      <c r="AA60" s="12"/>
      <c r="AB60" s="1"/>
      <c r="AC60" s="1"/>
      <c r="AD60" s="1"/>
      <c r="AE60" s="141"/>
      <c r="AF60" s="143"/>
      <c r="AG60" s="414"/>
      <c r="AH60" s="415"/>
      <c r="AI60" s="415"/>
      <c r="AJ60" s="415"/>
      <c r="AK60" s="416"/>
      <c r="AL60" s="167"/>
    </row>
    <row r="61" spans="1:38" ht="9" customHeight="1">
      <c r="A61" s="131"/>
      <c r="B61" s="145"/>
      <c r="C61" s="145"/>
      <c r="D61" s="145"/>
      <c r="E61" s="145"/>
      <c r="F61" s="145"/>
      <c r="G61" s="145"/>
      <c r="H61" s="145"/>
      <c r="I61" s="145"/>
      <c r="J61" s="145"/>
      <c r="K61" s="145"/>
      <c r="L61" s="145"/>
      <c r="M61" s="145"/>
      <c r="N61" s="145"/>
      <c r="O61" s="145"/>
      <c r="P61" s="145"/>
      <c r="Q61" s="145"/>
      <c r="R61" s="145"/>
      <c r="S61" s="145"/>
      <c r="T61" s="145"/>
      <c r="U61" s="145"/>
      <c r="V61" s="145"/>
      <c r="W61" s="145"/>
      <c r="X61" s="145"/>
      <c r="Y61" s="145"/>
      <c r="Z61" s="145"/>
      <c r="AA61" s="145"/>
      <c r="AB61" s="145"/>
      <c r="AC61" s="145"/>
      <c r="AD61" s="145"/>
      <c r="AE61" s="145"/>
      <c r="AF61" s="143"/>
      <c r="AG61" s="162"/>
      <c r="AH61" s="163"/>
      <c r="AI61" s="163"/>
      <c r="AJ61" s="163"/>
      <c r="AK61" s="164"/>
      <c r="AL61" s="167"/>
    </row>
    <row r="62" spans="1:38">
      <c r="A62" s="146"/>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50"/>
      <c r="AG62" s="154"/>
      <c r="AH62" s="155"/>
      <c r="AI62" s="155"/>
      <c r="AJ62" s="155"/>
      <c r="AK62" s="156"/>
      <c r="AL62" s="167"/>
    </row>
    <row r="63" spans="1:38">
      <c r="A63" s="148"/>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50"/>
      <c r="AG63" s="154"/>
      <c r="AH63" s="155"/>
      <c r="AI63" s="155"/>
      <c r="AJ63" s="155"/>
      <c r="AK63" s="156"/>
      <c r="AL63" s="167"/>
    </row>
    <row r="64" spans="1:38">
      <c r="A64" s="151"/>
      <c r="B64" s="152"/>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3"/>
      <c r="AG64" s="157"/>
      <c r="AH64" s="158"/>
      <c r="AI64" s="158"/>
      <c r="AJ64" s="158"/>
      <c r="AK64" s="159"/>
      <c r="AL64" s="168"/>
    </row>
  </sheetData>
  <mergeCells count="59">
    <mergeCell ref="AF48:AF49"/>
    <mergeCell ref="AG48:AK49"/>
    <mergeCell ref="AG51:AK53"/>
    <mergeCell ref="AG11:AK12"/>
    <mergeCell ref="AF16:AF17"/>
    <mergeCell ref="AF13:AF14"/>
    <mergeCell ref="AG13:AK14"/>
    <mergeCell ref="AG15:AK17"/>
    <mergeCell ref="AG21:AK23"/>
    <mergeCell ref="AG27:AK29"/>
    <mergeCell ref="AG33:AK35"/>
    <mergeCell ref="AF37:AF38"/>
    <mergeCell ref="AG37:AK38"/>
    <mergeCell ref="AF41:AF42"/>
    <mergeCell ref="AG41:AK42"/>
    <mergeCell ref="AG44:AK46"/>
    <mergeCell ref="AF45:AF46"/>
    <mergeCell ref="AG4:AK6"/>
    <mergeCell ref="I11:L12"/>
    <mergeCell ref="D11:G12"/>
    <mergeCell ref="C8:F9"/>
    <mergeCell ref="H8:K9"/>
    <mergeCell ref="M8:P9"/>
    <mergeCell ref="R8:U9"/>
    <mergeCell ref="W8:Z9"/>
    <mergeCell ref="AG31:AK32"/>
    <mergeCell ref="AF22:AF23"/>
    <mergeCell ref="AF25:AF26"/>
    <mergeCell ref="AF28:AF29"/>
    <mergeCell ref="AF31:AF32"/>
    <mergeCell ref="AF34:AF35"/>
    <mergeCell ref="B54:F55"/>
    <mergeCell ref="H54:L55"/>
    <mergeCell ref="S11:AA12"/>
    <mergeCell ref="N11:Q12"/>
    <mergeCell ref="P51:AB52"/>
    <mergeCell ref="B51:N52"/>
    <mergeCell ref="Z45:AB46"/>
    <mergeCell ref="X1:Z1"/>
    <mergeCell ref="B1:J1"/>
    <mergeCell ref="U1:W1"/>
    <mergeCell ref="AF1:AJ1"/>
    <mergeCell ref="AF2:AJ2"/>
    <mergeCell ref="AG58:AK60"/>
    <mergeCell ref="AA1:AE1"/>
    <mergeCell ref="C58:AA59"/>
    <mergeCell ref="B56:F56"/>
    <mergeCell ref="H56:L56"/>
    <mergeCell ref="N56:R56"/>
    <mergeCell ref="B57:R57"/>
    <mergeCell ref="N54:R55"/>
    <mergeCell ref="P48:AB49"/>
    <mergeCell ref="B45:R46"/>
    <mergeCell ref="T54:AB55"/>
    <mergeCell ref="B48:N49"/>
    <mergeCell ref="T45:X46"/>
    <mergeCell ref="AG19:AK20"/>
    <mergeCell ref="AF19:AF20"/>
    <mergeCell ref="AG25:AK26"/>
  </mergeCells>
  <dataValidations count="1">
    <dataValidation allowBlank="1" showInputMessage="1" showErrorMessage="1" sqref="AK1" xr:uid="{00000000-0002-0000-0100-000000000000}"/>
  </dataValidations>
  <pageMargins left="0.35" right="0.35" top="0.25" bottom="0.2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O_Click" altText="GO">
                <anchor moveWithCells="1" sizeWithCells="1">
                  <from>
                    <xdr:col>13</xdr:col>
                    <xdr:colOff>66675</xdr:colOff>
                    <xdr:row>0</xdr:row>
                    <xdr:rowOff>152400</xdr:rowOff>
                  </from>
                  <to>
                    <xdr:col>17</xdr:col>
                    <xdr:colOff>9525</xdr:colOff>
                    <xdr:row>1</xdr:row>
                    <xdr:rowOff>123825</xdr:rowOff>
                  </to>
                </anchor>
              </controlPr>
            </control>
          </mc:Choice>
        </mc:AlternateContent>
        <mc:AlternateContent xmlns:mc="http://schemas.openxmlformats.org/markup-compatibility/2006">
          <mc:Choice Requires="x14">
            <control shapeId="2061" r:id="rId5" name="Button 13">
              <controlPr defaultSize="0" print="0" autoFill="0" autoPict="0" macro="[0]!ALL_data_write">
                <anchor moveWithCells="1" sizeWithCells="1">
                  <from>
                    <xdr:col>31</xdr:col>
                    <xdr:colOff>66675</xdr:colOff>
                    <xdr:row>2</xdr:row>
                    <xdr:rowOff>95250</xdr:rowOff>
                  </from>
                  <to>
                    <xdr:col>31</xdr:col>
                    <xdr:colOff>800100</xdr:colOff>
                    <xdr:row>4</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1000000}">
          <x14:formula1>
            <xm:f>e!$B$1:$Z$1</xm:f>
          </x14:formula1>
          <xm:sqref>B1:J1</xm:sqref>
        </x14:dataValidation>
        <x14:dataValidation type="list" allowBlank="1" showInputMessage="1" showErrorMessage="1" xr:uid="{00000000-0002-0000-0100-000002000000}">
          <x14:formula1>
            <xm:f>Data!$A$12:$A$3958</xm:f>
          </x14:formula1>
          <xm:sqref>AF1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N962"/>
  <sheetViews>
    <sheetView tabSelected="1" zoomScale="90" zoomScaleNormal="90" workbookViewId="0">
      <pane xSplit="5" ySplit="10" topLeftCell="F11" activePane="bottomRight" state="frozen"/>
      <selection activeCell="B4" sqref="B4"/>
      <selection pane="topRight" activeCell="E4" sqref="E4"/>
      <selection pane="bottomLeft" activeCell="B11" sqref="B11"/>
      <selection pane="bottomRight" activeCell="C6" sqref="C6"/>
    </sheetView>
  </sheetViews>
  <sheetFormatPr baseColWidth="10" defaultColWidth="9.140625" defaultRowHeight="15"/>
  <cols>
    <col min="1" max="1" width="42.7109375" hidden="1" customWidth="1"/>
    <col min="2" max="2" width="4.7109375" customWidth="1"/>
    <col min="3" max="4" width="22.7109375" customWidth="1"/>
    <col min="5" max="5" width="12.28515625" customWidth="1"/>
    <col min="6" max="6" width="6.7109375" customWidth="1"/>
    <col min="7" max="7" width="31.5703125" customWidth="1"/>
    <col min="8" max="8" width="22.7109375" customWidth="1"/>
    <col min="9" max="12" width="9.28515625" customWidth="1"/>
    <col min="13" max="13" width="7.28515625" customWidth="1"/>
    <col min="14" max="22" width="8.7109375" customWidth="1"/>
    <col min="23" max="26" width="6.28515625" customWidth="1"/>
    <col min="27" max="27" width="3.140625" customWidth="1"/>
    <col min="28" max="28" width="16.42578125" customWidth="1"/>
    <col min="29" max="29" width="18.42578125" customWidth="1"/>
    <col min="30" max="30" width="23.7109375" customWidth="1"/>
    <col min="31" max="31" width="4.42578125" customWidth="1"/>
    <col min="32" max="32" width="10.85546875" customWidth="1"/>
    <col min="33" max="33" width="5.7109375" customWidth="1"/>
    <col min="34" max="34" width="14" customWidth="1"/>
    <col min="35" max="35" width="12.5703125" customWidth="1"/>
    <col min="36" max="36" width="13.42578125" customWidth="1"/>
    <col min="37" max="37" width="15.5703125" style="277" customWidth="1"/>
    <col min="38" max="38" width="3.140625" customWidth="1"/>
  </cols>
  <sheetData>
    <row r="1" spans="1:40" ht="15" hidden="1" customHeight="1">
      <c r="A1" s="170"/>
      <c r="B1" s="171"/>
      <c r="C1" s="135" t="str">
        <f>C4</f>
        <v>Español (Spanish) +</v>
      </c>
      <c r="D1" s="171">
        <v>9</v>
      </c>
      <c r="E1" s="172"/>
      <c r="F1" s="172"/>
      <c r="G1" s="171"/>
      <c r="H1" s="170"/>
      <c r="I1" s="172"/>
      <c r="J1" s="172"/>
      <c r="K1" s="172"/>
      <c r="L1" s="172"/>
      <c r="M1" s="172"/>
      <c r="N1" s="172"/>
      <c r="O1" s="172"/>
      <c r="P1" s="172"/>
      <c r="Q1" s="172"/>
      <c r="R1" s="172"/>
      <c r="S1" s="172"/>
      <c r="T1" s="172"/>
      <c r="U1" s="172"/>
      <c r="V1" s="172"/>
      <c r="W1" s="172"/>
      <c r="X1" s="172"/>
      <c r="Y1" s="172"/>
      <c r="Z1" s="172"/>
      <c r="AA1" s="171"/>
      <c r="AB1" s="170"/>
      <c r="AC1" s="170"/>
      <c r="AD1" s="170"/>
      <c r="AE1" s="172"/>
      <c r="AF1" s="172"/>
      <c r="AG1" s="172"/>
      <c r="AH1" s="83"/>
      <c r="AI1" s="83"/>
      <c r="AJ1" s="83"/>
      <c r="AK1" s="172"/>
      <c r="AL1" s="172"/>
      <c r="AM1" s="189"/>
      <c r="AN1" s="189"/>
    </row>
    <row r="2" spans="1:40" ht="15" hidden="1" customHeight="1">
      <c r="A2" s="170"/>
      <c r="B2" s="171"/>
      <c r="C2" s="171">
        <v>6</v>
      </c>
      <c r="D2" s="171">
        <v>3</v>
      </c>
      <c r="E2" s="172">
        <v>4</v>
      </c>
      <c r="F2" s="172">
        <v>5</v>
      </c>
      <c r="G2" s="171">
        <v>7</v>
      </c>
      <c r="H2" s="170">
        <v>8</v>
      </c>
      <c r="I2" s="172">
        <v>62</v>
      </c>
      <c r="J2" s="172">
        <v>63</v>
      </c>
      <c r="K2" s="172">
        <v>64</v>
      </c>
      <c r="L2" s="172">
        <v>65</v>
      </c>
      <c r="M2" s="172">
        <v>66</v>
      </c>
      <c r="N2" s="172">
        <v>18</v>
      </c>
      <c r="O2" s="172">
        <v>19</v>
      </c>
      <c r="P2" s="172">
        <v>20</v>
      </c>
      <c r="Q2" s="172">
        <v>21</v>
      </c>
      <c r="R2" s="172">
        <v>22</v>
      </c>
      <c r="S2" s="172">
        <v>23</v>
      </c>
      <c r="T2" s="172">
        <v>24</v>
      </c>
      <c r="U2" s="172">
        <v>25</v>
      </c>
      <c r="V2" s="172">
        <v>26</v>
      </c>
      <c r="W2" s="172">
        <v>28</v>
      </c>
      <c r="X2" s="172">
        <v>29</v>
      </c>
      <c r="Y2" s="172">
        <v>30</v>
      </c>
      <c r="Z2" s="172">
        <v>31</v>
      </c>
      <c r="AA2" s="171"/>
      <c r="AB2" s="170">
        <v>35</v>
      </c>
      <c r="AC2" s="170">
        <v>17</v>
      </c>
      <c r="AD2" s="170">
        <v>40</v>
      </c>
      <c r="AE2" s="172">
        <v>191</v>
      </c>
      <c r="AF2" s="172">
        <v>194</v>
      </c>
      <c r="AG2" s="172">
        <v>195</v>
      </c>
      <c r="AH2" s="83"/>
      <c r="AI2" s="83"/>
      <c r="AJ2" s="83"/>
      <c r="AK2" s="172"/>
      <c r="AL2" s="172"/>
      <c r="AM2" s="189"/>
      <c r="AN2" s="189"/>
    </row>
    <row r="3" spans="1:40" ht="15" hidden="1" customHeight="1">
      <c r="A3" s="173"/>
      <c r="B3" s="174"/>
      <c r="C3" s="174" t="s">
        <v>3270</v>
      </c>
      <c r="D3" s="174">
        <v>10</v>
      </c>
      <c r="E3" s="175">
        <v>11</v>
      </c>
      <c r="F3" s="175">
        <v>12</v>
      </c>
      <c r="G3" s="174">
        <v>42</v>
      </c>
      <c r="H3" s="173">
        <v>43</v>
      </c>
      <c r="I3" s="175"/>
      <c r="J3" s="175"/>
      <c r="K3" s="175"/>
      <c r="L3" s="175"/>
      <c r="M3" s="175"/>
      <c r="N3" s="175"/>
      <c r="O3" s="175"/>
      <c r="P3" s="175"/>
      <c r="Q3" s="175"/>
      <c r="R3" s="175"/>
      <c r="S3" s="175"/>
      <c r="T3" s="175"/>
      <c r="U3" s="175"/>
      <c r="V3" s="175"/>
      <c r="W3" s="175"/>
      <c r="X3" s="175"/>
      <c r="Y3" s="175"/>
      <c r="Z3" s="175"/>
      <c r="AA3" s="174"/>
      <c r="AB3" s="173"/>
      <c r="AC3" s="173"/>
      <c r="AD3" s="173"/>
      <c r="AE3" s="175"/>
      <c r="AF3" s="175"/>
      <c r="AG3" s="175"/>
      <c r="AH3" s="83"/>
      <c r="AI3" s="83"/>
      <c r="AJ3" s="83"/>
      <c r="AK3" s="175"/>
      <c r="AL3" s="175"/>
      <c r="AM3" s="189"/>
      <c r="AN3" s="189"/>
    </row>
    <row r="4" spans="1:40" ht="27.95" customHeight="1">
      <c r="A4" s="161"/>
      <c r="B4" s="278"/>
      <c r="C4" s="279" t="s">
        <v>1646</v>
      </c>
      <c r="D4" s="312" t="s">
        <v>3274</v>
      </c>
      <c r="E4" s="280"/>
      <c r="F4" s="281">
        <f>COUNTA(C12:C3958)</f>
        <v>0</v>
      </c>
      <c r="G4" s="279">
        <f>F4-(COUNTIF(C:C,"TRAINING CENTER"))</f>
        <v>0</v>
      </c>
      <c r="H4" s="279">
        <f t="array" ref="H4">SUM(($E$12:$E3859&lt;=E7)*($E$12:$E3859&gt;=E6)*($F$12:$F3859&gt;0))</f>
        <v>0</v>
      </c>
      <c r="I4" s="282"/>
      <c r="J4" s="282"/>
      <c r="K4" s="282"/>
      <c r="L4" s="282"/>
      <c r="M4" s="282"/>
      <c r="N4" s="282"/>
      <c r="O4" s="282"/>
      <c r="P4" s="282"/>
      <c r="Q4" s="282"/>
      <c r="R4" s="282"/>
      <c r="S4" s="282"/>
      <c r="T4" s="282"/>
      <c r="U4" s="282"/>
      <c r="V4" s="282"/>
      <c r="W4" s="283"/>
      <c r="X4" s="284"/>
      <c r="Y4" s="284"/>
      <c r="Z4" s="284"/>
      <c r="AA4" s="285"/>
      <c r="AB4" s="285"/>
      <c r="AC4" s="285"/>
      <c r="AD4" s="285"/>
      <c r="AE4" s="286"/>
      <c r="AF4" s="284"/>
      <c r="AG4" s="284"/>
      <c r="AH4" s="287"/>
      <c r="AI4" s="288"/>
      <c r="AJ4" s="289"/>
      <c r="AK4" s="289"/>
      <c r="AL4" s="286"/>
      <c r="AM4" s="189"/>
      <c r="AN4" s="189"/>
    </row>
    <row r="5" spans="1:40" ht="20.100000000000001" customHeight="1">
      <c r="A5" s="176"/>
      <c r="B5" s="452"/>
      <c r="C5" s="290" t="s">
        <v>3270</v>
      </c>
      <c r="D5" s="291" t="str">
        <f>HLOOKUP($C$1,e!$A$1:$Z$55,D1,FALSE)</f>
        <v>Nombre del socio</v>
      </c>
      <c r="E5" s="187" t="s">
        <v>1606</v>
      </c>
      <c r="F5" s="455" t="str">
        <f>HLOOKUP($C$1,e!$A$1:$Z$155,F2,FALSE)</f>
        <v>Generación</v>
      </c>
      <c r="G5" s="292" t="str">
        <f>HLOOKUP($C$1,e!$A$1:$Z$55,G3,FALSE)</f>
        <v>Grupos</v>
      </c>
      <c r="H5" s="292" t="str">
        <f>HLOOKUP($C$1,e!$A$1:$Z$55,H3,FALSE)</f>
        <v>Nuevos grupos</v>
      </c>
      <c r="I5" s="457" t="str">
        <f>HLOOKUP($C$1,e!$A$1:$Z$155,I2,FALSE)</f>
        <v>Asistencia del grupo</v>
      </c>
      <c r="J5" s="460" t="str">
        <f>HLOOKUP($C$1,e!$A$1:$Z$155,J2,FALSE)</f>
        <v>Total de creyentes en el grupo</v>
      </c>
      <c r="K5" s="460" t="str">
        <f>HLOOKUP($C$1,e!$A$1:$Z$155,K2,FALSE)</f>
        <v>Nuevos creyentes en el grupo en este período</v>
      </c>
      <c r="L5" s="460" t="str">
        <f>HLOOKUP($C$1,e!$A$1:$Z$155,L2,FALSE)</f>
        <v>Total de bautizados en el grupo.</v>
      </c>
      <c r="M5" s="464" t="str">
        <f>HLOOKUP($C$1,e!$A$1:$Z$155,M2,FALSE)</f>
        <v>Nuevos bautizados en el grupo en este período.</v>
      </c>
      <c r="N5" s="444" t="str">
        <f>HLOOKUP($C$1,e!$A$1:$Z$155,N2,FALSE)</f>
        <v>Oración</v>
      </c>
      <c r="O5" s="444" t="str">
        <f>HLOOKUP($C$1,e!$A$1:$Z$155,O2,FALSE)</f>
        <v>Compañerismo</v>
      </c>
      <c r="P5" s="444" t="str">
        <f>HLOOKUP($C$1,e!$A$1:$Z$155,P2,FALSE)</f>
        <v>Adoración</v>
      </c>
      <c r="Q5" s="444" t="str">
        <f>HLOOKUP($C$1,e!$A$1:$Z$155,Q2,FALSE)</f>
        <v>Aplicar la biblia</v>
      </c>
      <c r="R5" s="444" t="str">
        <f>HLOOKUP($C$1,e!$A$1:$Z$155,R2,FALSE)</f>
        <v>Evangelizar</v>
      </c>
      <c r="S5" s="444" t="str">
        <f>HLOOKUP($C$1,e!$A$1:$Z$155,S2,FALSE)</f>
        <v>La Santa Cena</v>
      </c>
      <c r="T5" s="444" t="str">
        <f>HLOOKUP($C$1,e!$A$1:$Z$155,T2,FALSE)</f>
        <v>Dar</v>
      </c>
      <c r="U5" s="444" t="str">
        <f>HLOOKUP($C$1,e!$A$1:$Z$155,U2,FALSE)</f>
        <v>Bautizar</v>
      </c>
      <c r="V5" s="444" t="str">
        <f>HLOOKUP($C$1,e!$A$1:$Z$155,V2,FALSE)</f>
        <v>Trabajadores</v>
      </c>
      <c r="W5" s="452">
        <f>HLOOKUP($C$1,e!$A$1:$Z$155,W2,FALSE)</f>
        <v>1</v>
      </c>
      <c r="X5" s="452">
        <f>HLOOKUP($C$1,e!$A$1:$Z$155,X2,FALSE)</f>
        <v>2</v>
      </c>
      <c r="Y5" s="452">
        <f>HLOOKUP($C$1,e!$A$1:$Z$155,Y2,FALSE)</f>
        <v>3</v>
      </c>
      <c r="Z5" s="452">
        <f>HLOOKUP($C$1,e!$A$1:$Z$155,Z2,FALSE)</f>
        <v>4</v>
      </c>
      <c r="AA5" s="452"/>
      <c r="AB5" s="290"/>
      <c r="AC5" s="290"/>
      <c r="AD5" s="290"/>
      <c r="AE5" s="452" t="str">
        <f>HLOOKUP($C$1,e!$A$1:$Z$243,AE2,FALSE)</f>
        <v>Es iglesia</v>
      </c>
      <c r="AF5" s="446"/>
      <c r="AG5" s="449" t="e">
        <f>AVERAGE(AG12:AG738)</f>
        <v>#DIV/0!</v>
      </c>
      <c r="AH5" s="293"/>
      <c r="AI5" s="294"/>
      <c r="AJ5" s="295"/>
      <c r="AK5" s="295"/>
      <c r="AL5" s="452" t="s">
        <v>1611</v>
      </c>
      <c r="AM5" s="189"/>
      <c r="AN5" s="189"/>
    </row>
    <row r="6" spans="1:40" ht="20.100000000000001" customHeight="1">
      <c r="A6" s="176"/>
      <c r="B6" s="453"/>
      <c r="C6" s="313" t="s">
        <v>3275</v>
      </c>
      <c r="D6" s="296" t="str">
        <f>HLOOKUP($C$1,e!$A$1:$Z$55,D3,FALSE)</f>
        <v>Desde</v>
      </c>
      <c r="E6" s="314"/>
      <c r="F6" s="456"/>
      <c r="G6" s="297"/>
      <c r="H6" s="298"/>
      <c r="I6" s="458"/>
      <c r="J6" s="460"/>
      <c r="K6" s="462"/>
      <c r="L6" s="462"/>
      <c r="M6" s="465"/>
      <c r="N6" s="444"/>
      <c r="O6" s="444"/>
      <c r="P6" s="444"/>
      <c r="Q6" s="444"/>
      <c r="R6" s="444"/>
      <c r="S6" s="444"/>
      <c r="T6" s="444"/>
      <c r="U6" s="444"/>
      <c r="V6" s="444"/>
      <c r="W6" s="453"/>
      <c r="X6" s="453"/>
      <c r="Y6" s="453"/>
      <c r="Z6" s="453"/>
      <c r="AA6" s="453"/>
      <c r="AB6" s="290"/>
      <c r="AC6" s="290"/>
      <c r="AD6" s="290"/>
      <c r="AE6" s="453"/>
      <c r="AF6" s="447"/>
      <c r="AG6" s="450"/>
      <c r="AH6" s="293"/>
      <c r="AI6" s="294"/>
      <c r="AJ6" s="295"/>
      <c r="AK6" s="295"/>
      <c r="AL6" s="453"/>
      <c r="AM6" s="189"/>
      <c r="AN6" s="189"/>
    </row>
    <row r="7" spans="1:40" ht="20.100000000000001" customHeight="1">
      <c r="A7" s="176"/>
      <c r="B7" s="453"/>
      <c r="C7" s="313" t="s">
        <v>3273</v>
      </c>
      <c r="D7" s="296" t="str">
        <f>HLOOKUP($C$1,e!$A$1:$Z$55,E3,FALSE)</f>
        <v>Hasta</v>
      </c>
      <c r="E7" s="314"/>
      <c r="F7" s="456"/>
      <c r="G7" s="297"/>
      <c r="H7" s="298"/>
      <c r="I7" s="458"/>
      <c r="J7" s="460"/>
      <c r="K7" s="462"/>
      <c r="L7" s="462"/>
      <c r="M7" s="465"/>
      <c r="N7" s="444"/>
      <c r="O7" s="444"/>
      <c r="P7" s="444"/>
      <c r="Q7" s="444"/>
      <c r="R7" s="444"/>
      <c r="S7" s="444"/>
      <c r="T7" s="444"/>
      <c r="U7" s="444"/>
      <c r="V7" s="444"/>
      <c r="W7" s="453"/>
      <c r="X7" s="453"/>
      <c r="Y7" s="453"/>
      <c r="Z7" s="453"/>
      <c r="AA7" s="453"/>
      <c r="AB7" s="290"/>
      <c r="AC7" s="290"/>
      <c r="AD7" s="290"/>
      <c r="AE7" s="453"/>
      <c r="AF7" s="447"/>
      <c r="AG7" s="450"/>
      <c r="AH7" s="293"/>
      <c r="AI7" s="294"/>
      <c r="AJ7" s="295"/>
      <c r="AK7" s="295"/>
      <c r="AL7" s="453"/>
      <c r="AM7" s="189"/>
      <c r="AN7" s="189"/>
    </row>
    <row r="8" spans="1:40" ht="20.100000000000001" customHeight="1">
      <c r="A8" s="176"/>
      <c r="B8" s="453"/>
      <c r="C8" s="290" t="s">
        <v>3270</v>
      </c>
      <c r="D8" s="299" t="str">
        <f>HLOOKUP($C$1,e!$A$1:$Z$55,F3,FALSE)</f>
        <v>Reunido</v>
      </c>
      <c r="E8" s="314"/>
      <c r="F8" s="456"/>
      <c r="G8" s="300"/>
      <c r="H8" s="301"/>
      <c r="I8" s="458"/>
      <c r="J8" s="460"/>
      <c r="K8" s="462"/>
      <c r="L8" s="462"/>
      <c r="M8" s="465"/>
      <c r="N8" s="444"/>
      <c r="O8" s="444"/>
      <c r="P8" s="444"/>
      <c r="Q8" s="444"/>
      <c r="R8" s="444"/>
      <c r="S8" s="444"/>
      <c r="T8" s="444"/>
      <c r="U8" s="444"/>
      <c r="V8" s="444"/>
      <c r="W8" s="453"/>
      <c r="X8" s="453"/>
      <c r="Y8" s="453"/>
      <c r="Z8" s="453"/>
      <c r="AA8" s="453"/>
      <c r="AB8" s="290"/>
      <c r="AC8" s="290"/>
      <c r="AD8" s="290"/>
      <c r="AE8" s="453"/>
      <c r="AF8" s="447"/>
      <c r="AG8" s="450"/>
      <c r="AH8" s="293"/>
      <c r="AI8" s="294"/>
      <c r="AJ8" s="295"/>
      <c r="AK8" s="295"/>
      <c r="AL8" s="453"/>
      <c r="AM8" s="189"/>
      <c r="AN8" s="189"/>
    </row>
    <row r="9" spans="1:40" ht="15.6" customHeight="1">
      <c r="A9" s="176">
        <v>1</v>
      </c>
      <c r="B9" s="454"/>
      <c r="C9" s="302">
        <f t="array" ref="C9">IF($A$9&lt;&gt;"",SUM(IF(C12:C3958&lt;&gt;"",1/COUNTIF(C12:C3958, C12:C3958), 0)),"")</f>
        <v>0</v>
      </c>
      <c r="D9" s="303">
        <f t="array" ref="D9">IF($A$9&lt;&gt;"",SUM(IF(D12:D3958&lt;&gt;"",1/COUNTIF(D12:D3958, D12:D3958), 0)),"")</f>
        <v>0</v>
      </c>
      <c r="E9" s="304">
        <f t="array" ref="E9">IF($A$9&lt;&gt;"",SUM(IF(E12:E3958&lt;&gt;"",1/COUNTIF(E12:E3958, E12:E3958), 0)),"")</f>
        <v>0</v>
      </c>
      <c r="F9" s="456"/>
      <c r="G9" s="305">
        <f t="array" ref="G9">IF($A$9&lt;&gt;"",SUM(IF(G12:G3958&lt;&gt;"",1/COUNTIF(G12:G3958, G12:G3958), 0)),"")</f>
        <v>0</v>
      </c>
      <c r="H9" s="306">
        <f t="array" ref="H9">IF($A$9&lt;&gt;"",SUM(IF(H12:H3958&lt;&gt;"",1/COUNTIF(H12:H3958, H12:H3958), 0)),"")</f>
        <v>0</v>
      </c>
      <c r="I9" s="459"/>
      <c r="J9" s="461"/>
      <c r="K9" s="463"/>
      <c r="L9" s="463"/>
      <c r="M9" s="466"/>
      <c r="N9" s="445"/>
      <c r="O9" s="445"/>
      <c r="P9" s="445"/>
      <c r="Q9" s="445"/>
      <c r="R9" s="445"/>
      <c r="S9" s="445"/>
      <c r="T9" s="445"/>
      <c r="U9" s="445"/>
      <c r="V9" s="445"/>
      <c r="W9" s="454"/>
      <c r="X9" s="454"/>
      <c r="Y9" s="454"/>
      <c r="Z9" s="454"/>
      <c r="AA9" s="454"/>
      <c r="AB9" s="307">
        <f t="array" ref="AB9">IF($A$9&lt;&gt;"",SUM(IF(AB12:AB3958&lt;&gt;"",1/COUNTIF(AB12:AB3958, AB12:AB3958), 0)),"")</f>
        <v>0</v>
      </c>
      <c r="AC9" s="307">
        <f t="array" ref="AC9">IF($A$9&lt;&gt;"",SUM(IF(AC12:AC3958&lt;&gt;"",1/COUNTIF(AC12:AC3958, AC12:AC3958), 0)),"")</f>
        <v>0</v>
      </c>
      <c r="AD9" s="308">
        <f t="array" ref="AD9">IF($A$9&lt;&gt;"",SUM(IF(AD12:AD3958&lt;&gt;"",1/COUNTIF(AD12:AD3958, AD12:AD3958), 0)),"")</f>
        <v>0</v>
      </c>
      <c r="AE9" s="454"/>
      <c r="AF9" s="448"/>
      <c r="AG9" s="451"/>
      <c r="AH9" s="309"/>
      <c r="AI9" s="310"/>
      <c r="AJ9" s="311"/>
      <c r="AK9" s="311"/>
      <c r="AL9" s="454"/>
      <c r="AM9" s="189"/>
      <c r="AN9" s="189"/>
    </row>
    <row r="10" spans="1:40" ht="15.6" customHeight="1">
      <c r="A10" s="176">
        <v>1</v>
      </c>
      <c r="B10" s="315"/>
      <c r="C10" s="316" t="str">
        <f>HLOOKUP($C$1,e!$A$1:$Z$55,C2,FALSE)</f>
        <v>Nombre del líder</v>
      </c>
      <c r="D10" s="316" t="str">
        <f>HLOOKUP($C$1,e!$A$1:$Z$55,D2,FALSE)</f>
        <v>Nombre del grupo / iglesia</v>
      </c>
      <c r="E10" s="315" t="str">
        <f>HLOOKUP($C$1,e!$A$1:$Z$55,E2,FALSE)</f>
        <v>Fecha de Inicio</v>
      </c>
      <c r="F10" s="317"/>
      <c r="G10" s="318" t="str">
        <f>HLOOKUP($C$1,e!$A$1:$Z$55,G2,FALSE)</f>
        <v>Ubicación</v>
      </c>
      <c r="H10" s="318" t="str">
        <f>HLOOKUP($C$1,e!$A$1:$Z$55,H2,FALSE)</f>
        <v>Grupo Madre / Iglesia</v>
      </c>
      <c r="I10" s="319">
        <f>SUM(I12:I3859)</f>
        <v>0</v>
      </c>
      <c r="J10" s="319">
        <f>SUM(J12:J3859)</f>
        <v>0</v>
      </c>
      <c r="K10" s="319">
        <f>SUM(K12:K3859)</f>
        <v>0</v>
      </c>
      <c r="L10" s="319">
        <f>SUM(L12:L3859)</f>
        <v>0</v>
      </c>
      <c r="M10" s="319">
        <f>SUM(M12:M3859)</f>
        <v>0</v>
      </c>
      <c r="N10" s="320" t="e">
        <f t="shared" ref="N10:V10" si="0">SUM(N12:N3859)/$F$4</f>
        <v>#DIV/0!</v>
      </c>
      <c r="O10" s="320" t="e">
        <f t="shared" si="0"/>
        <v>#DIV/0!</v>
      </c>
      <c r="P10" s="320" t="e">
        <f t="shared" si="0"/>
        <v>#DIV/0!</v>
      </c>
      <c r="Q10" s="320" t="e">
        <f t="shared" si="0"/>
        <v>#DIV/0!</v>
      </c>
      <c r="R10" s="320" t="e">
        <f t="shared" si="0"/>
        <v>#DIV/0!</v>
      </c>
      <c r="S10" s="320" t="e">
        <f t="shared" si="0"/>
        <v>#DIV/0!</v>
      </c>
      <c r="T10" s="320" t="e">
        <f t="shared" si="0"/>
        <v>#DIV/0!</v>
      </c>
      <c r="U10" s="320" t="e">
        <f t="shared" si="0"/>
        <v>#DIV/0!</v>
      </c>
      <c r="V10" s="320" t="e">
        <f t="shared" si="0"/>
        <v>#DIV/0!</v>
      </c>
      <c r="W10" s="321">
        <f>SUM(W12:W3859)</f>
        <v>0</v>
      </c>
      <c r="X10" s="321">
        <f>SUM(X12:X3859)</f>
        <v>0</v>
      </c>
      <c r="Y10" s="321">
        <f>SUM(Y12:Y3859)</f>
        <v>0</v>
      </c>
      <c r="Z10" s="321">
        <f>SUM(Z12:Z3859)</f>
        <v>0</v>
      </c>
      <c r="AA10" s="321"/>
      <c r="AB10" s="316" t="str">
        <f>HLOOKUP($C$1,e!$A$1:$Z$55,AB2,FALSE)</f>
        <v>Ubicación del entrenador</v>
      </c>
      <c r="AC10" s="316" t="str">
        <f>HLOOKUP($C$1,e!$A$1:$Z$55,AC2,FALSE)</f>
        <v>Entrenador</v>
      </c>
      <c r="AD10" s="316" t="str">
        <f>HLOOKUP($C$1,e!$A$1:$Z$55,AD2,FALSE)</f>
        <v>carné de identidad</v>
      </c>
      <c r="AE10" s="322" t="s">
        <v>3271</v>
      </c>
      <c r="AF10" s="322" t="str">
        <f>HLOOKUP($C$1,e!$A$1:$Z$243,AF2,FALSE)</f>
        <v>suma</v>
      </c>
      <c r="AG10" s="322" t="str">
        <f>HLOOKUP($C$1,e!$A$1:$Z$243,AG2,FALSE)</f>
        <v>Promedio</v>
      </c>
      <c r="AH10" s="315" t="str">
        <f>HLOOKUP($C$1,e!$A$1:$Z$55,D3,FALSE)</f>
        <v>Desde</v>
      </c>
      <c r="AI10" s="315" t="str">
        <f>HLOOKUP($C$1,e!$A$1:$Z$55,E3,FALSE)</f>
        <v>Hasta</v>
      </c>
      <c r="AJ10" s="323" t="str">
        <f>HLOOKUP($C$1,e!$A$1:$Z$55,F3,FALSE)</f>
        <v>Reunido</v>
      </c>
      <c r="AK10" s="322" t="str">
        <f>HLOOKUP($C$1,e!$A$1:$Z$55,D1,FALSE)</f>
        <v>Nombre del socio</v>
      </c>
      <c r="AL10" s="322" t="s">
        <v>3272</v>
      </c>
      <c r="AM10" s="189"/>
      <c r="AN10" s="189"/>
    </row>
    <row r="11" spans="1:40" ht="15.6" hidden="1" customHeight="1">
      <c r="A11" s="176" t="s">
        <v>2307</v>
      </c>
      <c r="B11" s="324" t="s">
        <v>2308</v>
      </c>
      <c r="C11" s="325" t="s">
        <v>2309</v>
      </c>
      <c r="D11" s="325" t="s">
        <v>2310</v>
      </c>
      <c r="E11" s="326" t="s">
        <v>2311</v>
      </c>
      <c r="F11" s="327" t="s">
        <v>2</v>
      </c>
      <c r="G11" s="328" t="s">
        <v>2312</v>
      </c>
      <c r="H11" s="328" t="s">
        <v>2313</v>
      </c>
      <c r="I11" s="324" t="s">
        <v>2314</v>
      </c>
      <c r="J11" s="324" t="s">
        <v>2315</v>
      </c>
      <c r="K11" s="324" t="s">
        <v>2316</v>
      </c>
      <c r="L11" s="324" t="s">
        <v>2317</v>
      </c>
      <c r="M11" s="324" t="s">
        <v>2318</v>
      </c>
      <c r="N11" s="329" t="s">
        <v>13</v>
      </c>
      <c r="O11" s="329" t="s">
        <v>15</v>
      </c>
      <c r="P11" s="329" t="s">
        <v>12</v>
      </c>
      <c r="Q11" s="329" t="s">
        <v>2319</v>
      </c>
      <c r="R11" s="329" t="s">
        <v>2320</v>
      </c>
      <c r="S11" s="329" t="s">
        <v>2321</v>
      </c>
      <c r="T11" s="329" t="s">
        <v>2322</v>
      </c>
      <c r="U11" s="329" t="s">
        <v>2323</v>
      </c>
      <c r="V11" s="329" t="s">
        <v>7</v>
      </c>
      <c r="W11" s="324" t="s">
        <v>2324</v>
      </c>
      <c r="X11" s="324" t="s">
        <v>2325</v>
      </c>
      <c r="Y11" s="324" t="s">
        <v>2326</v>
      </c>
      <c r="Z11" s="324" t="s">
        <v>2327</v>
      </c>
      <c r="AA11" s="324" t="s">
        <v>2328</v>
      </c>
      <c r="AB11" s="325" t="s">
        <v>2329</v>
      </c>
      <c r="AC11" s="325" t="s">
        <v>210</v>
      </c>
      <c r="AD11" s="325" t="s">
        <v>2330</v>
      </c>
      <c r="AE11" s="326" t="s">
        <v>2331</v>
      </c>
      <c r="AF11" s="326" t="s">
        <v>2332</v>
      </c>
      <c r="AG11" s="326" t="s">
        <v>2333</v>
      </c>
      <c r="AH11" s="326" t="s">
        <v>2334</v>
      </c>
      <c r="AI11" s="326" t="s">
        <v>2335</v>
      </c>
      <c r="AJ11" s="330" t="s">
        <v>2336</v>
      </c>
      <c r="AK11" s="331" t="s">
        <v>2337</v>
      </c>
      <c r="AL11" s="326" t="s">
        <v>2338</v>
      </c>
      <c r="AM11" s="190" t="s">
        <v>2339</v>
      </c>
      <c r="AN11" s="190" t="s">
        <v>2340</v>
      </c>
    </row>
    <row r="12" spans="1:40" ht="13.5" customHeight="1">
      <c r="A12" s="177" t="str">
        <f t="shared" ref="A12:A75" si="1">IF(G12&lt;&gt;"",(C12&amp;"  /  "&amp;D12&amp;"  /  "&amp;TEXT(E12,"dd-Mmm-yy")),"")</f>
        <v/>
      </c>
      <c r="E12" s="332"/>
      <c r="AH12" s="332"/>
      <c r="AI12" s="332"/>
      <c r="AJ12" s="332"/>
      <c r="AK12"/>
    </row>
    <row r="13" spans="1:40" ht="13.5" customHeight="1">
      <c r="A13" s="177" t="str">
        <f t="shared" si="1"/>
        <v/>
      </c>
      <c r="E13" s="332"/>
      <c r="AH13" s="332"/>
      <c r="AI13" s="332"/>
      <c r="AJ13" s="332"/>
      <c r="AK13"/>
    </row>
    <row r="14" spans="1:40" ht="13.5" customHeight="1">
      <c r="A14" s="177" t="str">
        <f t="shared" si="1"/>
        <v/>
      </c>
      <c r="E14" s="332"/>
      <c r="AH14" s="332"/>
      <c r="AI14" s="332"/>
      <c r="AJ14" s="332"/>
      <c r="AK14"/>
    </row>
    <row r="15" spans="1:40" ht="13.5" customHeight="1">
      <c r="A15" s="177" t="str">
        <f t="shared" si="1"/>
        <v/>
      </c>
      <c r="E15" s="332"/>
      <c r="AH15" s="332"/>
      <c r="AI15" s="332"/>
      <c r="AJ15" s="332"/>
      <c r="AK15"/>
    </row>
    <row r="16" spans="1:40" ht="13.5" customHeight="1">
      <c r="A16" s="177" t="str">
        <f t="shared" si="1"/>
        <v/>
      </c>
      <c r="E16" s="332"/>
      <c r="AH16" s="332"/>
      <c r="AI16" s="332"/>
      <c r="AJ16" s="332"/>
      <c r="AK16"/>
    </row>
    <row r="17" spans="1:37" ht="13.5" customHeight="1">
      <c r="A17" s="177" t="str">
        <f t="shared" si="1"/>
        <v/>
      </c>
      <c r="E17" s="332"/>
      <c r="AH17" s="332"/>
      <c r="AI17" s="332"/>
      <c r="AJ17" s="332"/>
      <c r="AK17"/>
    </row>
    <row r="18" spans="1:37" ht="13.5" customHeight="1">
      <c r="A18" s="177" t="str">
        <f t="shared" si="1"/>
        <v/>
      </c>
      <c r="E18" s="332"/>
      <c r="AH18" s="332"/>
      <c r="AI18" s="332"/>
      <c r="AJ18" s="332"/>
      <c r="AK18"/>
    </row>
    <row r="19" spans="1:37" ht="13.5" customHeight="1">
      <c r="A19" s="177" t="str">
        <f t="shared" si="1"/>
        <v/>
      </c>
      <c r="E19" s="332"/>
      <c r="AH19" s="332"/>
      <c r="AI19" s="332"/>
      <c r="AJ19" s="332"/>
      <c r="AK19"/>
    </row>
    <row r="20" spans="1:37" ht="13.5" customHeight="1">
      <c r="A20" s="177" t="str">
        <f t="shared" si="1"/>
        <v/>
      </c>
      <c r="E20" s="332"/>
      <c r="AH20" s="332"/>
      <c r="AI20" s="332"/>
      <c r="AJ20" s="332"/>
      <c r="AK20"/>
    </row>
    <row r="21" spans="1:37" ht="13.5" customHeight="1">
      <c r="A21" s="177" t="str">
        <f t="shared" si="1"/>
        <v/>
      </c>
      <c r="E21" s="332"/>
      <c r="AH21" s="332"/>
      <c r="AI21" s="332"/>
      <c r="AJ21" s="332"/>
      <c r="AK21"/>
    </row>
    <row r="22" spans="1:37" ht="13.5" customHeight="1">
      <c r="A22" s="177" t="str">
        <f t="shared" si="1"/>
        <v/>
      </c>
      <c r="E22" s="332"/>
      <c r="AH22" s="332"/>
      <c r="AI22" s="332"/>
      <c r="AJ22" s="332"/>
      <c r="AK22"/>
    </row>
    <row r="23" spans="1:37" ht="13.5" customHeight="1">
      <c r="A23" s="177" t="str">
        <f t="shared" si="1"/>
        <v/>
      </c>
      <c r="E23" s="332"/>
      <c r="AH23" s="332"/>
      <c r="AI23" s="332"/>
      <c r="AJ23" s="332"/>
      <c r="AK23"/>
    </row>
    <row r="24" spans="1:37" ht="13.5" customHeight="1">
      <c r="A24" s="177" t="str">
        <f t="shared" si="1"/>
        <v/>
      </c>
      <c r="E24" s="332"/>
      <c r="AH24" s="332"/>
      <c r="AI24" s="332"/>
      <c r="AJ24" s="332"/>
      <c r="AK24"/>
    </row>
    <row r="25" spans="1:37" ht="13.5" customHeight="1">
      <c r="A25" s="177" t="str">
        <f t="shared" si="1"/>
        <v/>
      </c>
      <c r="E25" s="332"/>
      <c r="AH25" s="332"/>
      <c r="AI25" s="332"/>
      <c r="AJ25" s="332"/>
      <c r="AK25"/>
    </row>
    <row r="26" spans="1:37" ht="13.5" customHeight="1">
      <c r="A26" s="177" t="str">
        <f t="shared" si="1"/>
        <v/>
      </c>
      <c r="E26" s="332"/>
      <c r="AH26" s="332"/>
      <c r="AI26" s="332"/>
      <c r="AJ26" s="332"/>
      <c r="AK26"/>
    </row>
    <row r="27" spans="1:37" ht="13.5" customHeight="1">
      <c r="A27" s="177" t="str">
        <f t="shared" si="1"/>
        <v/>
      </c>
      <c r="E27" s="332"/>
      <c r="AH27" s="332"/>
      <c r="AI27" s="332"/>
      <c r="AJ27" s="332"/>
      <c r="AK27"/>
    </row>
    <row r="28" spans="1:37" ht="13.5" customHeight="1">
      <c r="A28" s="177" t="str">
        <f t="shared" si="1"/>
        <v/>
      </c>
      <c r="E28" s="332"/>
      <c r="AH28" s="332"/>
      <c r="AI28" s="332"/>
      <c r="AJ28" s="332"/>
      <c r="AK28"/>
    </row>
    <row r="29" spans="1:37" ht="13.5" customHeight="1">
      <c r="A29" s="177" t="str">
        <f t="shared" si="1"/>
        <v/>
      </c>
      <c r="E29" s="332"/>
      <c r="AH29" s="332"/>
      <c r="AI29" s="332"/>
      <c r="AJ29" s="332"/>
      <c r="AK29"/>
    </row>
    <row r="30" spans="1:37" ht="13.5" customHeight="1">
      <c r="A30" s="177" t="str">
        <f t="shared" si="1"/>
        <v/>
      </c>
      <c r="E30" s="332"/>
      <c r="AH30" s="332"/>
      <c r="AI30" s="332"/>
      <c r="AJ30" s="332"/>
      <c r="AK30"/>
    </row>
    <row r="31" spans="1:37" ht="13.5" customHeight="1">
      <c r="A31" s="177" t="str">
        <f t="shared" si="1"/>
        <v/>
      </c>
      <c r="E31" s="332"/>
      <c r="AH31" s="332"/>
      <c r="AI31" s="332"/>
      <c r="AJ31" s="332"/>
      <c r="AK31"/>
    </row>
    <row r="32" spans="1:37" ht="13.5" customHeight="1">
      <c r="A32" s="177" t="str">
        <f t="shared" si="1"/>
        <v/>
      </c>
      <c r="E32" s="332"/>
      <c r="AH32" s="332"/>
      <c r="AI32" s="332"/>
      <c r="AJ32" s="332"/>
      <c r="AK32"/>
    </row>
    <row r="33" spans="1:37" ht="13.5" customHeight="1">
      <c r="A33" s="177" t="str">
        <f t="shared" si="1"/>
        <v/>
      </c>
      <c r="E33" s="332"/>
      <c r="AH33" s="332"/>
      <c r="AI33" s="332"/>
      <c r="AJ33" s="332"/>
      <c r="AK33"/>
    </row>
    <row r="34" spans="1:37" ht="13.5" customHeight="1">
      <c r="A34" s="177" t="str">
        <f t="shared" si="1"/>
        <v/>
      </c>
      <c r="E34" s="332"/>
      <c r="AH34" s="332"/>
      <c r="AI34" s="332"/>
      <c r="AJ34" s="332"/>
      <c r="AK34"/>
    </row>
    <row r="35" spans="1:37" ht="13.5" customHeight="1">
      <c r="A35" s="177" t="str">
        <f t="shared" si="1"/>
        <v/>
      </c>
      <c r="E35" s="332"/>
      <c r="AH35" s="332"/>
      <c r="AI35" s="332"/>
      <c r="AJ35" s="332"/>
      <c r="AK35"/>
    </row>
    <row r="36" spans="1:37" ht="13.5" customHeight="1">
      <c r="A36" s="177" t="str">
        <f t="shared" si="1"/>
        <v/>
      </c>
      <c r="E36" s="332"/>
      <c r="AH36" s="332"/>
      <c r="AI36" s="332"/>
      <c r="AJ36" s="332"/>
      <c r="AK36"/>
    </row>
    <row r="37" spans="1:37" ht="13.5" customHeight="1">
      <c r="A37" s="177" t="str">
        <f t="shared" si="1"/>
        <v/>
      </c>
      <c r="E37" s="332"/>
      <c r="AH37" s="332"/>
      <c r="AI37" s="332"/>
      <c r="AJ37" s="332"/>
      <c r="AK37"/>
    </row>
    <row r="38" spans="1:37" ht="13.5" customHeight="1">
      <c r="A38" s="177" t="str">
        <f t="shared" si="1"/>
        <v/>
      </c>
      <c r="E38" s="332"/>
      <c r="AH38" s="332"/>
      <c r="AI38" s="332"/>
      <c r="AJ38" s="332"/>
      <c r="AK38"/>
    </row>
    <row r="39" spans="1:37" ht="13.5" customHeight="1">
      <c r="A39" s="177" t="str">
        <f t="shared" si="1"/>
        <v/>
      </c>
      <c r="E39" s="332"/>
      <c r="AH39" s="332"/>
      <c r="AI39" s="332"/>
      <c r="AJ39" s="332"/>
      <c r="AK39"/>
    </row>
    <row r="40" spans="1:37" ht="13.5" customHeight="1">
      <c r="A40" s="177" t="str">
        <f t="shared" si="1"/>
        <v/>
      </c>
      <c r="E40" s="332"/>
      <c r="AH40" s="332"/>
      <c r="AI40" s="332"/>
      <c r="AJ40" s="332"/>
      <c r="AK40"/>
    </row>
    <row r="41" spans="1:37" ht="13.5" customHeight="1">
      <c r="A41" s="177" t="str">
        <f t="shared" si="1"/>
        <v/>
      </c>
      <c r="E41" s="332"/>
      <c r="AH41" s="332"/>
      <c r="AI41" s="332"/>
      <c r="AJ41" s="332"/>
      <c r="AK41"/>
    </row>
    <row r="42" spans="1:37" ht="13.5" customHeight="1">
      <c r="A42" s="177" t="str">
        <f t="shared" si="1"/>
        <v/>
      </c>
      <c r="E42" s="332"/>
      <c r="AH42" s="332"/>
      <c r="AI42" s="332"/>
      <c r="AJ42" s="332"/>
      <c r="AK42"/>
    </row>
    <row r="43" spans="1:37" ht="13.5" customHeight="1">
      <c r="A43" s="177" t="str">
        <f t="shared" si="1"/>
        <v/>
      </c>
      <c r="E43" s="332"/>
      <c r="AH43" s="332"/>
      <c r="AI43" s="332"/>
      <c r="AJ43" s="332"/>
      <c r="AK43"/>
    </row>
    <row r="44" spans="1:37" ht="13.5" customHeight="1">
      <c r="A44" s="177" t="str">
        <f t="shared" si="1"/>
        <v/>
      </c>
      <c r="E44" s="332"/>
      <c r="AH44" s="332"/>
      <c r="AI44" s="332"/>
      <c r="AJ44" s="332"/>
      <c r="AK44"/>
    </row>
    <row r="45" spans="1:37" ht="13.5" customHeight="1">
      <c r="A45" s="177" t="str">
        <f t="shared" si="1"/>
        <v/>
      </c>
      <c r="E45" s="332"/>
      <c r="AH45" s="332"/>
      <c r="AI45" s="332"/>
      <c r="AJ45" s="332"/>
      <c r="AK45"/>
    </row>
    <row r="46" spans="1:37" ht="13.5" customHeight="1">
      <c r="A46" s="177" t="str">
        <f t="shared" si="1"/>
        <v/>
      </c>
      <c r="E46" s="332"/>
      <c r="AH46" s="332"/>
      <c r="AI46" s="332"/>
      <c r="AJ46" s="332"/>
      <c r="AK46"/>
    </row>
    <row r="47" spans="1:37" ht="13.5" customHeight="1">
      <c r="A47" s="177" t="str">
        <f t="shared" si="1"/>
        <v/>
      </c>
      <c r="E47" s="332"/>
      <c r="AH47" s="332"/>
      <c r="AI47" s="332"/>
      <c r="AJ47" s="332"/>
      <c r="AK47"/>
    </row>
    <row r="48" spans="1:37" ht="13.5" customHeight="1">
      <c r="A48" s="177" t="str">
        <f t="shared" si="1"/>
        <v/>
      </c>
      <c r="E48" s="332"/>
      <c r="AH48" s="332"/>
      <c r="AI48" s="332"/>
      <c r="AJ48" s="332"/>
      <c r="AK48"/>
    </row>
    <row r="49" spans="1:40" ht="13.5" customHeight="1">
      <c r="A49" s="177" t="str">
        <f t="shared" si="1"/>
        <v/>
      </c>
      <c r="E49" s="332"/>
      <c r="AH49" s="332"/>
      <c r="AI49" s="332"/>
      <c r="AJ49" s="332"/>
      <c r="AK49"/>
    </row>
    <row r="50" spans="1:40" ht="13.5" customHeight="1">
      <c r="A50" s="177" t="str">
        <f t="shared" si="1"/>
        <v/>
      </c>
      <c r="E50" s="332"/>
      <c r="AH50" s="332"/>
      <c r="AI50" s="332"/>
      <c r="AJ50" s="332"/>
      <c r="AK50"/>
    </row>
    <row r="51" spans="1:40" ht="13.5" customHeight="1">
      <c r="A51" s="177" t="str">
        <f t="shared" si="1"/>
        <v/>
      </c>
      <c r="E51" s="332"/>
      <c r="AH51" s="332"/>
      <c r="AI51" s="332"/>
      <c r="AJ51" s="332"/>
      <c r="AK51"/>
      <c r="AM51" s="189"/>
      <c r="AN51" s="189"/>
    </row>
    <row r="52" spans="1:40" ht="13.5" customHeight="1">
      <c r="A52" s="177" t="str">
        <f t="shared" si="1"/>
        <v/>
      </c>
      <c r="E52" s="332"/>
      <c r="AH52" s="332"/>
      <c r="AI52" s="332"/>
      <c r="AJ52" s="332"/>
      <c r="AK52"/>
      <c r="AM52" s="189"/>
      <c r="AN52" s="189"/>
    </row>
    <row r="53" spans="1:40" ht="13.5" customHeight="1">
      <c r="A53" s="177" t="str">
        <f t="shared" si="1"/>
        <v/>
      </c>
      <c r="E53" s="332"/>
      <c r="AH53" s="332"/>
      <c r="AI53" s="332"/>
      <c r="AJ53" s="332"/>
      <c r="AK53"/>
      <c r="AM53" s="189"/>
      <c r="AN53" s="189"/>
    </row>
    <row r="54" spans="1:40" ht="13.5" customHeight="1">
      <c r="A54" s="177" t="str">
        <f t="shared" si="1"/>
        <v/>
      </c>
      <c r="E54" s="332"/>
      <c r="AH54" s="332"/>
      <c r="AI54" s="332"/>
      <c r="AJ54" s="332"/>
      <c r="AK54"/>
      <c r="AM54" s="189"/>
      <c r="AN54" s="189"/>
    </row>
    <row r="55" spans="1:40" ht="13.5" customHeight="1">
      <c r="A55" s="177" t="str">
        <f t="shared" si="1"/>
        <v/>
      </c>
      <c r="E55" s="332"/>
      <c r="AH55" s="332"/>
      <c r="AI55" s="332"/>
      <c r="AJ55" s="332"/>
      <c r="AK55"/>
      <c r="AM55" s="189"/>
      <c r="AN55" s="189"/>
    </row>
    <row r="56" spans="1:40" ht="13.5" customHeight="1">
      <c r="A56" s="177" t="str">
        <f t="shared" si="1"/>
        <v/>
      </c>
      <c r="E56" s="332"/>
      <c r="AH56" s="332"/>
      <c r="AI56" s="332"/>
      <c r="AJ56" s="332"/>
      <c r="AK56"/>
      <c r="AM56" s="189"/>
      <c r="AN56" s="189"/>
    </row>
    <row r="57" spans="1:40" ht="13.5" customHeight="1">
      <c r="A57" s="177" t="str">
        <f t="shared" si="1"/>
        <v/>
      </c>
      <c r="E57" s="332"/>
      <c r="AH57" s="332"/>
      <c r="AI57" s="332"/>
      <c r="AJ57" s="332"/>
      <c r="AK57"/>
      <c r="AM57" s="189"/>
      <c r="AN57" s="189"/>
    </row>
    <row r="58" spans="1:40" ht="13.5" customHeight="1">
      <c r="A58" s="177" t="str">
        <f t="shared" si="1"/>
        <v/>
      </c>
      <c r="E58" s="332"/>
      <c r="AH58" s="332"/>
      <c r="AI58" s="332"/>
      <c r="AJ58" s="332"/>
      <c r="AK58"/>
      <c r="AM58" s="189"/>
      <c r="AN58" s="189"/>
    </row>
    <row r="59" spans="1:40" ht="13.5" customHeight="1">
      <c r="A59" s="177" t="str">
        <f t="shared" si="1"/>
        <v/>
      </c>
      <c r="E59" s="332"/>
      <c r="AH59" s="332"/>
      <c r="AI59" s="332"/>
      <c r="AJ59" s="332"/>
      <c r="AK59"/>
      <c r="AM59" s="189"/>
      <c r="AN59" s="189"/>
    </row>
    <row r="60" spans="1:40" ht="13.5" customHeight="1">
      <c r="A60" s="177" t="str">
        <f t="shared" si="1"/>
        <v/>
      </c>
      <c r="E60" s="332"/>
      <c r="AH60" s="332"/>
      <c r="AI60" s="332"/>
      <c r="AJ60" s="332"/>
      <c r="AK60"/>
      <c r="AM60" s="189"/>
      <c r="AN60" s="189"/>
    </row>
    <row r="61" spans="1:40" ht="13.5" customHeight="1">
      <c r="A61" s="177" t="str">
        <f t="shared" si="1"/>
        <v/>
      </c>
      <c r="E61" s="332"/>
      <c r="AH61" s="332"/>
      <c r="AI61" s="332"/>
      <c r="AJ61" s="332"/>
      <c r="AK61"/>
      <c r="AM61" s="189"/>
      <c r="AN61" s="189"/>
    </row>
    <row r="62" spans="1:40" ht="13.5" customHeight="1">
      <c r="A62" s="177" t="str">
        <f t="shared" si="1"/>
        <v/>
      </c>
      <c r="E62" s="332"/>
      <c r="AH62" s="332"/>
      <c r="AI62" s="332"/>
      <c r="AJ62" s="332"/>
      <c r="AK62"/>
      <c r="AM62" s="189"/>
      <c r="AN62" s="189"/>
    </row>
    <row r="63" spans="1:40" ht="13.5" customHeight="1">
      <c r="A63" s="177" t="str">
        <f t="shared" si="1"/>
        <v/>
      </c>
      <c r="E63" s="332"/>
      <c r="AH63" s="332"/>
      <c r="AI63" s="332"/>
      <c r="AJ63" s="332"/>
      <c r="AK63"/>
      <c r="AM63" s="189"/>
      <c r="AN63" s="189"/>
    </row>
    <row r="64" spans="1:40" ht="13.5" customHeight="1">
      <c r="A64" s="177" t="str">
        <f t="shared" si="1"/>
        <v/>
      </c>
      <c r="E64" s="332"/>
      <c r="AH64" s="332"/>
      <c r="AI64" s="332"/>
      <c r="AJ64" s="332"/>
      <c r="AK64"/>
      <c r="AM64" s="189"/>
      <c r="AN64" s="189"/>
    </row>
    <row r="65" spans="1:40" ht="13.5" customHeight="1">
      <c r="A65" s="177" t="str">
        <f t="shared" si="1"/>
        <v/>
      </c>
      <c r="E65" s="332"/>
      <c r="AH65" s="332"/>
      <c r="AI65" s="332"/>
      <c r="AJ65" s="332"/>
      <c r="AK65"/>
      <c r="AM65" s="189"/>
      <c r="AN65" s="189"/>
    </row>
    <row r="66" spans="1:40" ht="13.5" customHeight="1">
      <c r="A66" s="177" t="str">
        <f t="shared" si="1"/>
        <v/>
      </c>
      <c r="E66" s="332"/>
      <c r="AH66" s="332"/>
      <c r="AI66" s="332"/>
      <c r="AJ66" s="332"/>
      <c r="AK66"/>
      <c r="AM66" s="189"/>
      <c r="AN66" s="189"/>
    </row>
    <row r="67" spans="1:40" ht="13.5" customHeight="1">
      <c r="A67" s="177" t="str">
        <f t="shared" si="1"/>
        <v/>
      </c>
      <c r="E67" s="332"/>
      <c r="AH67" s="332"/>
      <c r="AI67" s="332"/>
      <c r="AJ67" s="332"/>
      <c r="AK67"/>
      <c r="AM67" s="189"/>
      <c r="AN67" s="189"/>
    </row>
    <row r="68" spans="1:40" ht="13.5" customHeight="1">
      <c r="A68" s="177" t="str">
        <f t="shared" si="1"/>
        <v/>
      </c>
      <c r="E68" s="332"/>
      <c r="AH68" s="332"/>
      <c r="AI68" s="332"/>
      <c r="AJ68" s="332"/>
      <c r="AK68"/>
      <c r="AM68" s="189"/>
      <c r="AN68" s="189"/>
    </row>
    <row r="69" spans="1:40" ht="13.5" customHeight="1">
      <c r="A69" s="177" t="str">
        <f t="shared" si="1"/>
        <v/>
      </c>
      <c r="E69" s="332"/>
      <c r="AH69" s="332"/>
      <c r="AI69" s="332"/>
      <c r="AJ69" s="332"/>
      <c r="AK69"/>
      <c r="AM69" s="189"/>
      <c r="AN69" s="189"/>
    </row>
    <row r="70" spans="1:40" ht="13.5" customHeight="1">
      <c r="A70" s="177" t="str">
        <f t="shared" si="1"/>
        <v/>
      </c>
      <c r="E70" s="332"/>
      <c r="AH70" s="332"/>
      <c r="AI70" s="332"/>
      <c r="AJ70" s="332"/>
      <c r="AK70"/>
      <c r="AM70" s="189"/>
      <c r="AN70" s="189"/>
    </row>
    <row r="71" spans="1:40" ht="13.5" customHeight="1">
      <c r="A71" s="177" t="str">
        <f t="shared" si="1"/>
        <v/>
      </c>
      <c r="E71" s="332"/>
      <c r="AH71" s="332"/>
      <c r="AI71" s="332"/>
      <c r="AJ71" s="332"/>
      <c r="AK71"/>
      <c r="AM71" s="189"/>
      <c r="AN71" s="189"/>
    </row>
    <row r="72" spans="1:40" ht="13.5" customHeight="1">
      <c r="A72" s="177" t="str">
        <f t="shared" si="1"/>
        <v/>
      </c>
      <c r="E72" s="332"/>
      <c r="AH72" s="332"/>
      <c r="AI72" s="332"/>
      <c r="AJ72" s="332"/>
      <c r="AK72"/>
      <c r="AM72" s="189"/>
      <c r="AN72" s="189"/>
    </row>
    <row r="73" spans="1:40" ht="13.5" customHeight="1">
      <c r="A73" s="177" t="str">
        <f t="shared" si="1"/>
        <v/>
      </c>
      <c r="E73" s="332"/>
      <c r="AH73" s="332"/>
      <c r="AI73" s="332"/>
      <c r="AJ73" s="332"/>
      <c r="AK73"/>
      <c r="AM73" s="189"/>
      <c r="AN73" s="189"/>
    </row>
    <row r="74" spans="1:40" ht="13.5" customHeight="1">
      <c r="A74" s="177" t="str">
        <f t="shared" si="1"/>
        <v/>
      </c>
      <c r="E74" s="332"/>
      <c r="AH74" s="332"/>
      <c r="AI74" s="332"/>
      <c r="AJ74" s="332"/>
      <c r="AK74"/>
      <c r="AM74" s="189"/>
      <c r="AN74" s="189"/>
    </row>
    <row r="75" spans="1:40" ht="13.5" customHeight="1">
      <c r="A75" s="177" t="str">
        <f t="shared" si="1"/>
        <v/>
      </c>
      <c r="E75" s="332"/>
      <c r="AH75" s="332"/>
      <c r="AI75" s="332"/>
      <c r="AJ75" s="332"/>
      <c r="AK75"/>
      <c r="AM75" s="189"/>
      <c r="AN75" s="189"/>
    </row>
    <row r="76" spans="1:40" ht="13.5" customHeight="1">
      <c r="A76" s="177" t="str">
        <f t="shared" ref="A76:A139" si="2">IF(G76&lt;&gt;"",(C76&amp;"  /  "&amp;D76&amp;"  /  "&amp;TEXT(E76,"dd-Mmm-yy")),"")</f>
        <v/>
      </c>
      <c r="E76" s="332"/>
      <c r="AH76" s="332"/>
      <c r="AI76" s="332"/>
      <c r="AJ76" s="332"/>
      <c r="AK76"/>
      <c r="AM76" s="189"/>
      <c r="AN76" s="189"/>
    </row>
    <row r="77" spans="1:40" ht="13.5" customHeight="1">
      <c r="A77" s="177" t="str">
        <f t="shared" si="2"/>
        <v/>
      </c>
      <c r="E77" s="332"/>
      <c r="AH77" s="332"/>
      <c r="AI77" s="332"/>
      <c r="AJ77" s="332"/>
      <c r="AK77"/>
      <c r="AM77" s="189"/>
      <c r="AN77" s="189"/>
    </row>
    <row r="78" spans="1:40" ht="13.5" customHeight="1">
      <c r="A78" s="177" t="str">
        <f t="shared" si="2"/>
        <v/>
      </c>
      <c r="E78" s="332"/>
      <c r="AH78" s="332"/>
      <c r="AI78" s="332"/>
      <c r="AJ78" s="332"/>
      <c r="AK78"/>
      <c r="AM78" s="189"/>
      <c r="AN78" s="189"/>
    </row>
    <row r="79" spans="1:40" ht="13.5" customHeight="1">
      <c r="A79" s="177" t="str">
        <f t="shared" si="2"/>
        <v/>
      </c>
      <c r="E79" s="332"/>
      <c r="AH79" s="332"/>
      <c r="AI79" s="332"/>
      <c r="AJ79" s="332"/>
      <c r="AK79"/>
      <c r="AM79" s="189"/>
      <c r="AN79" s="189"/>
    </row>
    <row r="80" spans="1:40" ht="13.5" customHeight="1">
      <c r="A80" s="177" t="str">
        <f t="shared" si="2"/>
        <v/>
      </c>
      <c r="E80" s="332"/>
      <c r="AH80" s="332"/>
      <c r="AI80" s="332"/>
      <c r="AJ80" s="332"/>
      <c r="AK80"/>
      <c r="AM80" s="189"/>
      <c r="AN80" s="189"/>
    </row>
    <row r="81" spans="1:40" ht="13.5" customHeight="1">
      <c r="A81" s="177" t="str">
        <f t="shared" si="2"/>
        <v/>
      </c>
      <c r="E81" s="332"/>
      <c r="AH81" s="332"/>
      <c r="AI81" s="332"/>
      <c r="AJ81" s="332"/>
      <c r="AK81"/>
      <c r="AM81" s="189"/>
      <c r="AN81" s="189"/>
    </row>
    <row r="82" spans="1:40" ht="13.5" customHeight="1">
      <c r="A82" s="177" t="str">
        <f t="shared" si="2"/>
        <v/>
      </c>
      <c r="E82" s="332"/>
      <c r="AH82" s="332"/>
      <c r="AI82" s="332"/>
      <c r="AJ82" s="332"/>
      <c r="AK82"/>
      <c r="AM82" s="189"/>
      <c r="AN82" s="189"/>
    </row>
    <row r="83" spans="1:40" ht="13.5" customHeight="1">
      <c r="A83" s="177" t="str">
        <f t="shared" si="2"/>
        <v/>
      </c>
      <c r="E83" s="332"/>
      <c r="AH83" s="332"/>
      <c r="AI83" s="332"/>
      <c r="AJ83" s="332"/>
      <c r="AK83"/>
      <c r="AM83" s="189"/>
      <c r="AN83" s="189"/>
    </row>
    <row r="84" spans="1:40" ht="13.5" customHeight="1">
      <c r="A84" s="177" t="str">
        <f t="shared" si="2"/>
        <v/>
      </c>
      <c r="E84" s="332"/>
      <c r="AH84" s="332"/>
      <c r="AI84" s="332"/>
      <c r="AJ84" s="332"/>
      <c r="AK84"/>
      <c r="AM84" s="189"/>
      <c r="AN84" s="189"/>
    </row>
    <row r="85" spans="1:40" ht="13.5" customHeight="1">
      <c r="A85" s="177" t="str">
        <f t="shared" si="2"/>
        <v/>
      </c>
      <c r="E85" s="332"/>
      <c r="AH85" s="332"/>
      <c r="AI85" s="332"/>
      <c r="AJ85" s="332"/>
      <c r="AK85"/>
      <c r="AM85" s="189"/>
      <c r="AN85" s="189"/>
    </row>
    <row r="86" spans="1:40" ht="13.5" customHeight="1">
      <c r="A86" s="177" t="str">
        <f t="shared" si="2"/>
        <v/>
      </c>
      <c r="E86" s="332"/>
      <c r="AH86" s="332"/>
      <c r="AI86" s="332"/>
      <c r="AJ86" s="332"/>
      <c r="AK86"/>
      <c r="AM86" s="189"/>
      <c r="AN86" s="189"/>
    </row>
    <row r="87" spans="1:40" ht="13.5" customHeight="1">
      <c r="A87" s="177" t="str">
        <f t="shared" si="2"/>
        <v/>
      </c>
      <c r="E87" s="332"/>
      <c r="AH87" s="332"/>
      <c r="AI87" s="332"/>
      <c r="AJ87" s="332"/>
      <c r="AK87"/>
      <c r="AM87" s="189"/>
      <c r="AN87" s="189"/>
    </row>
    <row r="88" spans="1:40" ht="13.5" customHeight="1">
      <c r="A88" s="177" t="str">
        <f t="shared" si="2"/>
        <v/>
      </c>
      <c r="E88" s="332"/>
      <c r="AH88" s="332"/>
      <c r="AI88" s="332"/>
      <c r="AJ88" s="332"/>
      <c r="AK88"/>
      <c r="AM88" s="189"/>
      <c r="AN88" s="189"/>
    </row>
    <row r="89" spans="1:40" ht="13.5" customHeight="1">
      <c r="A89" s="177" t="str">
        <f t="shared" si="2"/>
        <v/>
      </c>
      <c r="E89" s="332"/>
      <c r="AH89" s="332"/>
      <c r="AI89" s="332"/>
      <c r="AJ89" s="332"/>
      <c r="AK89"/>
      <c r="AM89" s="189"/>
      <c r="AN89" s="189"/>
    </row>
    <row r="90" spans="1:40" ht="13.5" customHeight="1">
      <c r="A90" s="177" t="str">
        <f t="shared" si="2"/>
        <v/>
      </c>
      <c r="E90" s="332"/>
      <c r="AH90" s="332"/>
      <c r="AI90" s="332"/>
      <c r="AJ90" s="332"/>
      <c r="AK90"/>
      <c r="AM90" s="189"/>
      <c r="AN90" s="189"/>
    </row>
    <row r="91" spans="1:40" ht="13.5" customHeight="1">
      <c r="A91" s="177" t="str">
        <f t="shared" si="2"/>
        <v/>
      </c>
      <c r="E91" s="332"/>
      <c r="AH91" s="332"/>
      <c r="AI91" s="332"/>
      <c r="AJ91" s="332"/>
      <c r="AK91"/>
      <c r="AM91" s="189"/>
      <c r="AN91" s="189"/>
    </row>
    <row r="92" spans="1:40" ht="13.5" customHeight="1">
      <c r="A92" s="177" t="str">
        <f t="shared" si="2"/>
        <v/>
      </c>
      <c r="E92" s="332"/>
      <c r="AH92" s="332"/>
      <c r="AI92" s="332"/>
      <c r="AJ92" s="332"/>
      <c r="AK92"/>
      <c r="AM92" s="189"/>
      <c r="AN92" s="189"/>
    </row>
    <row r="93" spans="1:40" ht="13.5" customHeight="1">
      <c r="A93" s="177" t="str">
        <f t="shared" si="2"/>
        <v/>
      </c>
      <c r="E93" s="332"/>
      <c r="AH93" s="332"/>
      <c r="AI93" s="332"/>
      <c r="AJ93" s="332"/>
      <c r="AK93"/>
      <c r="AM93" s="189"/>
      <c r="AN93" s="189"/>
    </row>
    <row r="94" spans="1:40" ht="13.5" customHeight="1">
      <c r="A94" s="177" t="str">
        <f t="shared" si="2"/>
        <v/>
      </c>
      <c r="E94" s="332"/>
      <c r="AH94" s="332"/>
      <c r="AI94" s="332"/>
      <c r="AJ94" s="332"/>
      <c r="AK94"/>
      <c r="AM94" s="189"/>
      <c r="AN94" s="189"/>
    </row>
    <row r="95" spans="1:40" ht="13.5" customHeight="1">
      <c r="A95" s="177" t="str">
        <f t="shared" si="2"/>
        <v/>
      </c>
      <c r="E95" s="332"/>
      <c r="AH95" s="332"/>
      <c r="AI95" s="332"/>
      <c r="AJ95" s="332"/>
      <c r="AK95"/>
      <c r="AM95" s="189"/>
      <c r="AN95" s="189"/>
    </row>
    <row r="96" spans="1:40" ht="13.5" customHeight="1">
      <c r="A96" s="177" t="str">
        <f t="shared" si="2"/>
        <v/>
      </c>
      <c r="E96" s="332"/>
      <c r="AH96" s="332"/>
      <c r="AI96" s="332"/>
      <c r="AJ96" s="332"/>
      <c r="AK96"/>
      <c r="AM96" s="189"/>
      <c r="AN96" s="189"/>
    </row>
    <row r="97" spans="1:40" ht="13.5" customHeight="1">
      <c r="A97" s="177" t="str">
        <f t="shared" si="2"/>
        <v/>
      </c>
      <c r="E97" s="332"/>
      <c r="AH97" s="332"/>
      <c r="AI97" s="332"/>
      <c r="AJ97" s="332"/>
      <c r="AK97"/>
      <c r="AM97" s="189"/>
      <c r="AN97" s="189"/>
    </row>
    <row r="98" spans="1:40" ht="13.5" customHeight="1">
      <c r="A98" s="177" t="str">
        <f t="shared" si="2"/>
        <v/>
      </c>
      <c r="E98" s="332"/>
      <c r="AH98" s="332"/>
      <c r="AI98" s="332"/>
      <c r="AJ98" s="332"/>
      <c r="AK98"/>
      <c r="AM98" s="189"/>
      <c r="AN98" s="189"/>
    </row>
    <row r="99" spans="1:40" ht="13.5" customHeight="1">
      <c r="A99" s="177" t="str">
        <f t="shared" si="2"/>
        <v/>
      </c>
      <c r="E99" s="332"/>
      <c r="AH99" s="332"/>
      <c r="AI99" s="332"/>
      <c r="AJ99" s="332"/>
      <c r="AK99"/>
      <c r="AM99" s="189"/>
      <c r="AN99" s="189"/>
    </row>
    <row r="100" spans="1:40" ht="13.5" customHeight="1">
      <c r="A100" s="177" t="str">
        <f t="shared" si="2"/>
        <v/>
      </c>
      <c r="E100" s="332"/>
      <c r="AH100" s="332"/>
      <c r="AI100" s="332"/>
      <c r="AJ100" s="332"/>
      <c r="AK100"/>
      <c r="AM100" s="189"/>
      <c r="AN100" s="189"/>
    </row>
    <row r="101" spans="1:40" ht="13.5" customHeight="1">
      <c r="A101" s="177" t="str">
        <f t="shared" si="2"/>
        <v/>
      </c>
      <c r="E101" s="332"/>
      <c r="AH101" s="332"/>
      <c r="AI101" s="332"/>
      <c r="AJ101" s="332"/>
      <c r="AK101"/>
      <c r="AM101" s="189"/>
      <c r="AN101" s="189"/>
    </row>
    <row r="102" spans="1:40" ht="13.5" customHeight="1">
      <c r="A102" s="177" t="str">
        <f t="shared" si="2"/>
        <v/>
      </c>
      <c r="E102" s="332"/>
      <c r="AH102" s="332"/>
      <c r="AI102" s="332"/>
      <c r="AJ102" s="332"/>
      <c r="AK102"/>
      <c r="AM102" s="189"/>
      <c r="AN102" s="189"/>
    </row>
    <row r="103" spans="1:40" ht="13.5" customHeight="1">
      <c r="A103" s="177" t="str">
        <f t="shared" si="2"/>
        <v/>
      </c>
      <c r="E103" s="332"/>
      <c r="AH103" s="332"/>
      <c r="AI103" s="332"/>
      <c r="AJ103" s="332"/>
      <c r="AK103"/>
      <c r="AM103" s="189"/>
      <c r="AN103" s="189"/>
    </row>
    <row r="104" spans="1:40" ht="13.5" customHeight="1">
      <c r="A104" s="177" t="str">
        <f t="shared" si="2"/>
        <v/>
      </c>
      <c r="E104" s="332"/>
      <c r="AH104" s="332"/>
      <c r="AI104" s="332"/>
      <c r="AJ104" s="332"/>
      <c r="AK104"/>
      <c r="AM104" s="189"/>
      <c r="AN104" s="189"/>
    </row>
    <row r="105" spans="1:40" ht="13.5" customHeight="1">
      <c r="A105" s="177" t="str">
        <f t="shared" si="2"/>
        <v/>
      </c>
      <c r="E105" s="332"/>
      <c r="AH105" s="332"/>
      <c r="AI105" s="332"/>
      <c r="AJ105" s="332"/>
      <c r="AK105"/>
      <c r="AM105" s="189"/>
      <c r="AN105" s="189"/>
    </row>
    <row r="106" spans="1:40" ht="13.5" customHeight="1">
      <c r="A106" s="177" t="str">
        <f t="shared" si="2"/>
        <v/>
      </c>
      <c r="E106" s="332"/>
      <c r="AH106" s="332"/>
      <c r="AI106" s="332"/>
      <c r="AJ106" s="332"/>
      <c r="AK106"/>
      <c r="AM106" s="189"/>
      <c r="AN106" s="189"/>
    </row>
    <row r="107" spans="1:40" ht="13.5" customHeight="1">
      <c r="A107" s="177" t="str">
        <f t="shared" si="2"/>
        <v/>
      </c>
      <c r="E107" s="332"/>
      <c r="AH107" s="332"/>
      <c r="AI107" s="332"/>
      <c r="AJ107" s="332"/>
      <c r="AK107"/>
      <c r="AM107" s="189"/>
      <c r="AN107" s="189"/>
    </row>
    <row r="108" spans="1:40" ht="13.5" customHeight="1">
      <c r="A108" s="177" t="str">
        <f t="shared" si="2"/>
        <v/>
      </c>
      <c r="E108" s="332"/>
      <c r="AH108" s="332"/>
      <c r="AI108" s="332"/>
      <c r="AJ108" s="332"/>
      <c r="AK108"/>
      <c r="AM108" s="189"/>
      <c r="AN108" s="189"/>
    </row>
    <row r="109" spans="1:40" ht="13.5" customHeight="1">
      <c r="A109" s="177" t="str">
        <f t="shared" si="2"/>
        <v/>
      </c>
      <c r="E109" s="332"/>
      <c r="AH109" s="332"/>
      <c r="AI109" s="332"/>
      <c r="AJ109" s="332"/>
      <c r="AK109"/>
      <c r="AM109" s="189"/>
      <c r="AN109" s="189"/>
    </row>
    <row r="110" spans="1:40" ht="13.5" customHeight="1">
      <c r="A110" s="177" t="str">
        <f t="shared" si="2"/>
        <v/>
      </c>
      <c r="E110" s="332"/>
      <c r="AH110" s="332"/>
      <c r="AI110" s="332"/>
      <c r="AJ110" s="332"/>
      <c r="AK110"/>
      <c r="AM110" s="189"/>
      <c r="AN110" s="189"/>
    </row>
    <row r="111" spans="1:40" ht="13.5" customHeight="1">
      <c r="A111" s="177" t="str">
        <f t="shared" si="2"/>
        <v/>
      </c>
      <c r="E111" s="332"/>
      <c r="AH111" s="332"/>
      <c r="AI111" s="332"/>
      <c r="AJ111" s="332"/>
      <c r="AK111"/>
      <c r="AM111" s="189"/>
      <c r="AN111" s="189"/>
    </row>
    <row r="112" spans="1:40" ht="13.5" customHeight="1">
      <c r="A112" s="177" t="str">
        <f t="shared" si="2"/>
        <v/>
      </c>
      <c r="E112" s="332"/>
      <c r="AH112" s="332"/>
      <c r="AI112" s="332"/>
      <c r="AJ112" s="332"/>
      <c r="AK112"/>
      <c r="AM112" s="189"/>
      <c r="AN112" s="189"/>
    </row>
    <row r="113" spans="1:40" ht="13.5" customHeight="1">
      <c r="A113" s="177" t="str">
        <f t="shared" si="2"/>
        <v/>
      </c>
      <c r="E113" s="332"/>
      <c r="AH113" s="332"/>
      <c r="AI113" s="332"/>
      <c r="AJ113" s="332"/>
      <c r="AK113"/>
      <c r="AM113" s="189"/>
      <c r="AN113" s="189"/>
    </row>
    <row r="114" spans="1:40" ht="13.5" customHeight="1">
      <c r="A114" s="177" t="str">
        <f t="shared" si="2"/>
        <v/>
      </c>
      <c r="E114" s="332"/>
      <c r="AH114" s="332"/>
      <c r="AI114" s="332"/>
      <c r="AJ114" s="332"/>
      <c r="AK114"/>
      <c r="AM114" s="189"/>
      <c r="AN114" s="189"/>
    </row>
    <row r="115" spans="1:40" ht="13.5" customHeight="1">
      <c r="A115" s="177" t="str">
        <f t="shared" si="2"/>
        <v/>
      </c>
      <c r="E115" s="332"/>
      <c r="AH115" s="332"/>
      <c r="AI115" s="332"/>
      <c r="AJ115" s="332"/>
      <c r="AK115"/>
      <c r="AM115" s="189"/>
      <c r="AN115" s="189"/>
    </row>
    <row r="116" spans="1:40" ht="13.5" customHeight="1">
      <c r="A116" s="177" t="str">
        <f t="shared" si="2"/>
        <v/>
      </c>
      <c r="E116" s="332"/>
      <c r="AH116" s="332"/>
      <c r="AI116" s="332"/>
      <c r="AJ116" s="332"/>
      <c r="AK116"/>
      <c r="AM116" s="189"/>
      <c r="AN116" s="189"/>
    </row>
    <row r="117" spans="1:40" ht="13.5" customHeight="1">
      <c r="A117" s="177" t="str">
        <f t="shared" si="2"/>
        <v/>
      </c>
      <c r="E117" s="332"/>
      <c r="AH117" s="332"/>
      <c r="AI117" s="332"/>
      <c r="AJ117" s="332"/>
      <c r="AK117"/>
      <c r="AM117" s="189"/>
      <c r="AN117" s="189"/>
    </row>
    <row r="118" spans="1:40" ht="13.5" customHeight="1">
      <c r="A118" s="177" t="str">
        <f t="shared" si="2"/>
        <v/>
      </c>
      <c r="E118" s="332"/>
      <c r="AH118" s="332"/>
      <c r="AI118" s="332"/>
      <c r="AJ118" s="332"/>
      <c r="AK118"/>
      <c r="AM118" s="189"/>
      <c r="AN118" s="189"/>
    </row>
    <row r="119" spans="1:40" ht="13.5" customHeight="1">
      <c r="A119" s="177" t="str">
        <f t="shared" si="2"/>
        <v/>
      </c>
      <c r="E119" s="332"/>
      <c r="AH119" s="332"/>
      <c r="AI119" s="332"/>
      <c r="AJ119" s="332"/>
      <c r="AK119"/>
      <c r="AM119" s="189"/>
      <c r="AN119" s="189"/>
    </row>
    <row r="120" spans="1:40" ht="13.5" customHeight="1">
      <c r="A120" s="177" t="str">
        <f t="shared" si="2"/>
        <v/>
      </c>
      <c r="E120" s="332"/>
      <c r="AH120" s="332"/>
      <c r="AI120" s="332"/>
      <c r="AJ120" s="332"/>
      <c r="AK120"/>
      <c r="AM120" s="189"/>
      <c r="AN120" s="189"/>
    </row>
    <row r="121" spans="1:40" ht="13.5" customHeight="1">
      <c r="A121" s="177" t="str">
        <f t="shared" si="2"/>
        <v/>
      </c>
      <c r="E121" s="332"/>
      <c r="AH121" s="332"/>
      <c r="AI121" s="332"/>
      <c r="AJ121" s="332"/>
      <c r="AK121"/>
      <c r="AM121" s="189"/>
      <c r="AN121" s="189"/>
    </row>
    <row r="122" spans="1:40" ht="13.5" customHeight="1">
      <c r="A122" s="177" t="str">
        <f t="shared" si="2"/>
        <v/>
      </c>
      <c r="E122" s="332"/>
      <c r="AH122" s="332"/>
      <c r="AI122" s="332"/>
      <c r="AJ122" s="332"/>
      <c r="AK122"/>
      <c r="AM122" s="189"/>
      <c r="AN122" s="189"/>
    </row>
    <row r="123" spans="1:40" ht="13.5" customHeight="1">
      <c r="A123" s="177" t="str">
        <f t="shared" si="2"/>
        <v/>
      </c>
      <c r="E123" s="332"/>
      <c r="AH123" s="332"/>
      <c r="AI123" s="332"/>
      <c r="AJ123" s="332"/>
      <c r="AK123"/>
      <c r="AM123" s="189"/>
      <c r="AN123" s="189"/>
    </row>
    <row r="124" spans="1:40" ht="13.5" customHeight="1">
      <c r="A124" s="177" t="str">
        <f t="shared" si="2"/>
        <v/>
      </c>
      <c r="E124" s="332"/>
      <c r="AH124" s="332"/>
      <c r="AI124" s="332"/>
      <c r="AJ124" s="332"/>
      <c r="AK124"/>
      <c r="AM124" s="189"/>
      <c r="AN124" s="189"/>
    </row>
    <row r="125" spans="1:40" ht="13.5" customHeight="1">
      <c r="A125" s="177" t="str">
        <f t="shared" si="2"/>
        <v/>
      </c>
      <c r="E125" s="332"/>
      <c r="AH125" s="332"/>
      <c r="AI125" s="332"/>
      <c r="AJ125" s="332"/>
      <c r="AK125"/>
      <c r="AM125" s="189"/>
      <c r="AN125" s="189"/>
    </row>
    <row r="126" spans="1:40" ht="13.5" customHeight="1">
      <c r="A126" s="177" t="str">
        <f t="shared" si="2"/>
        <v/>
      </c>
      <c r="E126" s="332"/>
      <c r="AH126" s="332"/>
      <c r="AI126" s="332"/>
      <c r="AJ126" s="332"/>
      <c r="AK126"/>
      <c r="AM126" s="189"/>
      <c r="AN126" s="189"/>
    </row>
    <row r="127" spans="1:40" ht="13.5" customHeight="1">
      <c r="A127" s="177" t="str">
        <f t="shared" si="2"/>
        <v/>
      </c>
      <c r="E127" s="332"/>
      <c r="AH127" s="332"/>
      <c r="AI127" s="332"/>
      <c r="AJ127" s="332"/>
      <c r="AK127"/>
      <c r="AM127" s="189"/>
      <c r="AN127" s="189"/>
    </row>
    <row r="128" spans="1:40" ht="13.5" customHeight="1">
      <c r="A128" s="177" t="str">
        <f t="shared" si="2"/>
        <v/>
      </c>
      <c r="E128" s="332"/>
      <c r="AH128" s="332"/>
      <c r="AI128" s="332"/>
      <c r="AJ128" s="332"/>
      <c r="AK128"/>
      <c r="AM128" s="189"/>
      <c r="AN128" s="189"/>
    </row>
    <row r="129" spans="1:40" ht="13.5" customHeight="1">
      <c r="A129" s="177" t="str">
        <f t="shared" si="2"/>
        <v/>
      </c>
      <c r="E129" s="332"/>
      <c r="AH129" s="332"/>
      <c r="AI129" s="332"/>
      <c r="AJ129" s="332"/>
      <c r="AK129"/>
      <c r="AM129" s="189"/>
      <c r="AN129" s="189"/>
    </row>
    <row r="130" spans="1:40" ht="13.5" customHeight="1">
      <c r="A130" s="177" t="str">
        <f t="shared" si="2"/>
        <v/>
      </c>
      <c r="E130" s="332"/>
      <c r="AH130" s="332"/>
      <c r="AI130" s="332"/>
      <c r="AJ130" s="332"/>
      <c r="AK130"/>
      <c r="AM130" s="189"/>
      <c r="AN130" s="189"/>
    </row>
    <row r="131" spans="1:40" ht="13.5" customHeight="1">
      <c r="A131" s="177" t="str">
        <f t="shared" si="2"/>
        <v/>
      </c>
      <c r="E131" s="332"/>
      <c r="AH131" s="332"/>
      <c r="AI131" s="332"/>
      <c r="AJ131" s="332"/>
      <c r="AK131"/>
      <c r="AM131" s="189"/>
      <c r="AN131" s="189"/>
    </row>
    <row r="132" spans="1:40" ht="13.5" customHeight="1">
      <c r="A132" s="177" t="str">
        <f t="shared" si="2"/>
        <v/>
      </c>
      <c r="E132" s="332"/>
      <c r="AH132" s="332"/>
      <c r="AI132" s="332"/>
      <c r="AJ132" s="332"/>
      <c r="AK132"/>
      <c r="AM132" s="189"/>
      <c r="AN132" s="189"/>
    </row>
    <row r="133" spans="1:40" ht="13.5" customHeight="1">
      <c r="A133" s="177" t="str">
        <f t="shared" si="2"/>
        <v/>
      </c>
      <c r="E133" s="332"/>
      <c r="AH133" s="332"/>
      <c r="AI133" s="332"/>
      <c r="AJ133" s="332"/>
      <c r="AK133"/>
      <c r="AM133" s="189"/>
      <c r="AN133" s="189"/>
    </row>
    <row r="134" spans="1:40" ht="13.5" customHeight="1">
      <c r="A134" s="177" t="str">
        <f t="shared" si="2"/>
        <v/>
      </c>
      <c r="E134" s="332"/>
      <c r="AH134" s="332"/>
      <c r="AI134" s="332"/>
      <c r="AJ134" s="332"/>
      <c r="AK134"/>
      <c r="AM134" s="189"/>
      <c r="AN134" s="189"/>
    </row>
    <row r="135" spans="1:40" ht="13.5" customHeight="1">
      <c r="A135" s="177" t="str">
        <f t="shared" si="2"/>
        <v/>
      </c>
      <c r="E135" s="332"/>
      <c r="AH135" s="332"/>
      <c r="AI135" s="332"/>
      <c r="AJ135" s="332"/>
      <c r="AK135"/>
      <c r="AM135" s="189"/>
      <c r="AN135" s="189"/>
    </row>
    <row r="136" spans="1:40" ht="13.5" customHeight="1">
      <c r="A136" s="177" t="str">
        <f t="shared" si="2"/>
        <v/>
      </c>
      <c r="E136" s="332"/>
      <c r="AH136" s="332"/>
      <c r="AI136" s="332"/>
      <c r="AJ136" s="332"/>
      <c r="AK136"/>
      <c r="AM136" s="189"/>
      <c r="AN136" s="189"/>
    </row>
    <row r="137" spans="1:40" ht="13.5" customHeight="1">
      <c r="A137" s="177" t="str">
        <f t="shared" si="2"/>
        <v/>
      </c>
      <c r="E137" s="332"/>
      <c r="AH137" s="332"/>
      <c r="AI137" s="332"/>
      <c r="AJ137" s="332"/>
      <c r="AK137"/>
      <c r="AM137" s="189"/>
      <c r="AN137" s="189"/>
    </row>
    <row r="138" spans="1:40" ht="13.5" customHeight="1">
      <c r="A138" s="177" t="str">
        <f t="shared" si="2"/>
        <v/>
      </c>
      <c r="E138" s="332"/>
      <c r="AH138" s="332"/>
      <c r="AI138" s="332"/>
      <c r="AJ138" s="332"/>
      <c r="AK138"/>
      <c r="AM138" s="189"/>
      <c r="AN138" s="189"/>
    </row>
    <row r="139" spans="1:40" ht="13.5" customHeight="1">
      <c r="A139" s="177" t="str">
        <f t="shared" si="2"/>
        <v/>
      </c>
      <c r="E139" s="332"/>
      <c r="AH139" s="332"/>
      <c r="AI139" s="332"/>
      <c r="AJ139" s="332"/>
      <c r="AK139"/>
      <c r="AM139" s="189"/>
      <c r="AN139" s="189"/>
    </row>
    <row r="140" spans="1:40" ht="13.5" customHeight="1">
      <c r="A140" s="177" t="str">
        <f t="shared" ref="A140:A203" si="3">IF(G140&lt;&gt;"",(C140&amp;"  /  "&amp;D140&amp;"  /  "&amp;TEXT(E140,"dd-Mmm-yy")),"")</f>
        <v/>
      </c>
      <c r="E140" s="332"/>
      <c r="AH140" s="332"/>
      <c r="AI140" s="332"/>
      <c r="AJ140" s="332"/>
      <c r="AK140"/>
      <c r="AM140" s="189"/>
      <c r="AN140" s="189"/>
    </row>
    <row r="141" spans="1:40" ht="13.5" customHeight="1">
      <c r="A141" s="177" t="str">
        <f t="shared" si="3"/>
        <v/>
      </c>
      <c r="E141" s="332"/>
      <c r="AH141" s="332"/>
      <c r="AI141" s="332"/>
      <c r="AJ141" s="332"/>
      <c r="AK141"/>
      <c r="AM141" s="189"/>
      <c r="AN141" s="189"/>
    </row>
    <row r="142" spans="1:40" ht="13.5" customHeight="1">
      <c r="A142" s="177" t="str">
        <f t="shared" si="3"/>
        <v/>
      </c>
      <c r="E142" s="332"/>
      <c r="AH142" s="332"/>
      <c r="AI142" s="332"/>
      <c r="AJ142" s="332"/>
      <c r="AK142"/>
      <c r="AM142" s="189"/>
      <c r="AN142" s="189"/>
    </row>
    <row r="143" spans="1:40" ht="13.5" customHeight="1">
      <c r="A143" s="177" t="str">
        <f t="shared" si="3"/>
        <v/>
      </c>
      <c r="E143" s="332"/>
      <c r="AH143" s="332"/>
      <c r="AI143" s="332"/>
      <c r="AJ143" s="332"/>
      <c r="AK143"/>
      <c r="AM143" s="189"/>
      <c r="AN143" s="189"/>
    </row>
    <row r="144" spans="1:40" ht="13.5" customHeight="1">
      <c r="A144" s="177" t="str">
        <f t="shared" si="3"/>
        <v/>
      </c>
      <c r="E144" s="332"/>
      <c r="AH144" s="332"/>
      <c r="AI144" s="332"/>
      <c r="AJ144" s="332"/>
      <c r="AK144"/>
      <c r="AM144" s="189"/>
      <c r="AN144" s="189"/>
    </row>
    <row r="145" spans="1:40" ht="13.5" customHeight="1">
      <c r="A145" s="177" t="str">
        <f t="shared" si="3"/>
        <v/>
      </c>
      <c r="E145" s="332"/>
      <c r="AH145" s="332"/>
      <c r="AI145" s="332"/>
      <c r="AJ145" s="332"/>
      <c r="AK145"/>
      <c r="AM145" s="189"/>
      <c r="AN145" s="189"/>
    </row>
    <row r="146" spans="1:40" ht="13.5" customHeight="1">
      <c r="A146" s="177" t="str">
        <f t="shared" si="3"/>
        <v/>
      </c>
      <c r="E146" s="332"/>
      <c r="AH146" s="332"/>
      <c r="AI146" s="332"/>
      <c r="AJ146" s="332"/>
      <c r="AK146"/>
      <c r="AM146" s="189"/>
      <c r="AN146" s="189"/>
    </row>
    <row r="147" spans="1:40" ht="13.5" customHeight="1">
      <c r="A147" s="177" t="str">
        <f t="shared" si="3"/>
        <v/>
      </c>
      <c r="E147" s="332"/>
      <c r="AH147" s="332"/>
      <c r="AI147" s="332"/>
      <c r="AJ147" s="332"/>
      <c r="AK147"/>
      <c r="AM147" s="189"/>
      <c r="AN147" s="189"/>
    </row>
    <row r="148" spans="1:40" ht="13.5" customHeight="1">
      <c r="A148" s="177" t="str">
        <f t="shared" si="3"/>
        <v/>
      </c>
      <c r="E148" s="332"/>
      <c r="AH148" s="332"/>
      <c r="AI148" s="332"/>
      <c r="AJ148" s="332"/>
      <c r="AK148"/>
      <c r="AM148" s="189"/>
      <c r="AN148" s="189"/>
    </row>
    <row r="149" spans="1:40" ht="13.5" customHeight="1">
      <c r="A149" s="177" t="str">
        <f t="shared" si="3"/>
        <v/>
      </c>
      <c r="E149" s="332"/>
      <c r="AH149" s="332"/>
      <c r="AI149" s="332"/>
      <c r="AJ149" s="332"/>
      <c r="AK149"/>
      <c r="AM149" s="189"/>
      <c r="AN149" s="189"/>
    </row>
    <row r="150" spans="1:40" ht="13.5" customHeight="1">
      <c r="A150" s="177" t="str">
        <f t="shared" si="3"/>
        <v/>
      </c>
      <c r="E150" s="332"/>
      <c r="AH150" s="332"/>
      <c r="AI150" s="332"/>
      <c r="AJ150" s="332"/>
      <c r="AK150"/>
      <c r="AM150" s="189"/>
      <c r="AN150" s="189"/>
    </row>
    <row r="151" spans="1:40" ht="13.5" customHeight="1">
      <c r="A151" s="177" t="str">
        <f t="shared" si="3"/>
        <v/>
      </c>
      <c r="E151" s="332"/>
      <c r="AH151" s="332"/>
      <c r="AI151" s="332"/>
      <c r="AJ151" s="332"/>
      <c r="AK151"/>
      <c r="AM151" s="189"/>
      <c r="AN151" s="189"/>
    </row>
    <row r="152" spans="1:40" ht="13.5" customHeight="1">
      <c r="A152" s="177" t="str">
        <f t="shared" si="3"/>
        <v/>
      </c>
      <c r="E152" s="332"/>
      <c r="AH152" s="332"/>
      <c r="AI152" s="332"/>
      <c r="AJ152" s="332"/>
      <c r="AK152"/>
      <c r="AM152" s="189"/>
      <c r="AN152" s="189"/>
    </row>
    <row r="153" spans="1:40" ht="13.5" customHeight="1">
      <c r="A153" s="177" t="str">
        <f t="shared" si="3"/>
        <v/>
      </c>
      <c r="E153" s="332"/>
      <c r="AH153" s="332"/>
      <c r="AI153" s="332"/>
      <c r="AJ153" s="332"/>
      <c r="AK153"/>
      <c r="AM153" s="189"/>
      <c r="AN153" s="189"/>
    </row>
    <row r="154" spans="1:40" ht="13.5" customHeight="1">
      <c r="A154" s="177" t="str">
        <f t="shared" si="3"/>
        <v/>
      </c>
      <c r="E154" s="332"/>
      <c r="AH154" s="332"/>
      <c r="AI154" s="332"/>
      <c r="AJ154" s="332"/>
      <c r="AK154"/>
      <c r="AM154" s="189"/>
      <c r="AN154" s="189"/>
    </row>
    <row r="155" spans="1:40" ht="13.5" customHeight="1">
      <c r="A155" s="177" t="str">
        <f t="shared" si="3"/>
        <v/>
      </c>
      <c r="E155" s="332"/>
      <c r="AH155" s="332"/>
      <c r="AI155" s="332"/>
      <c r="AJ155" s="332"/>
      <c r="AK155"/>
      <c r="AM155" s="189"/>
      <c r="AN155" s="189"/>
    </row>
    <row r="156" spans="1:40" ht="13.5" customHeight="1">
      <c r="A156" s="177" t="str">
        <f t="shared" si="3"/>
        <v/>
      </c>
      <c r="E156" s="332"/>
      <c r="AH156" s="332"/>
      <c r="AI156" s="332"/>
      <c r="AJ156" s="332"/>
      <c r="AK156"/>
      <c r="AM156" s="189"/>
      <c r="AN156" s="189"/>
    </row>
    <row r="157" spans="1:40" ht="13.5" customHeight="1">
      <c r="A157" s="177" t="str">
        <f t="shared" si="3"/>
        <v/>
      </c>
      <c r="E157" s="332"/>
      <c r="AH157" s="332"/>
      <c r="AI157" s="332"/>
      <c r="AJ157" s="332"/>
      <c r="AK157"/>
      <c r="AM157" s="189"/>
      <c r="AN157" s="189"/>
    </row>
    <row r="158" spans="1:40" ht="13.5" customHeight="1">
      <c r="A158" s="177" t="str">
        <f t="shared" si="3"/>
        <v/>
      </c>
      <c r="E158" s="332"/>
      <c r="AH158" s="332"/>
      <c r="AI158" s="332"/>
      <c r="AJ158" s="332"/>
      <c r="AK158"/>
      <c r="AM158" s="189"/>
      <c r="AN158" s="189"/>
    </row>
    <row r="159" spans="1:40" ht="13.5" customHeight="1">
      <c r="A159" s="177" t="str">
        <f t="shared" si="3"/>
        <v/>
      </c>
      <c r="E159" s="332"/>
      <c r="AH159" s="332"/>
      <c r="AI159" s="332"/>
      <c r="AJ159" s="332"/>
      <c r="AK159"/>
      <c r="AM159" s="189"/>
      <c r="AN159" s="189"/>
    </row>
    <row r="160" spans="1:40" ht="13.5" customHeight="1">
      <c r="A160" s="177" t="str">
        <f t="shared" si="3"/>
        <v/>
      </c>
      <c r="E160" s="332"/>
      <c r="AH160" s="332"/>
      <c r="AI160" s="332"/>
      <c r="AJ160" s="332"/>
      <c r="AK160"/>
      <c r="AM160" s="189"/>
      <c r="AN160" s="189"/>
    </row>
    <row r="161" spans="1:40" ht="13.5" customHeight="1">
      <c r="A161" s="177" t="str">
        <f t="shared" si="3"/>
        <v/>
      </c>
      <c r="E161" s="332"/>
      <c r="AH161" s="332"/>
      <c r="AI161" s="332"/>
      <c r="AJ161" s="332"/>
      <c r="AK161"/>
      <c r="AM161" s="189"/>
      <c r="AN161" s="189"/>
    </row>
    <row r="162" spans="1:40" ht="13.5" customHeight="1">
      <c r="A162" s="177" t="str">
        <f t="shared" si="3"/>
        <v/>
      </c>
      <c r="E162" s="332"/>
      <c r="AH162" s="332"/>
      <c r="AI162" s="332"/>
      <c r="AJ162" s="332"/>
      <c r="AK162"/>
      <c r="AM162" s="189"/>
      <c r="AN162" s="189"/>
    </row>
    <row r="163" spans="1:40" ht="13.5" customHeight="1">
      <c r="A163" s="177" t="str">
        <f t="shared" si="3"/>
        <v/>
      </c>
      <c r="E163" s="332"/>
      <c r="AH163" s="332"/>
      <c r="AI163" s="332"/>
      <c r="AJ163" s="332"/>
      <c r="AK163"/>
      <c r="AM163" s="189"/>
      <c r="AN163" s="189"/>
    </row>
    <row r="164" spans="1:40" ht="13.5" customHeight="1">
      <c r="A164" s="177" t="str">
        <f t="shared" si="3"/>
        <v/>
      </c>
      <c r="E164" s="332"/>
      <c r="AH164" s="332"/>
      <c r="AI164" s="332"/>
      <c r="AJ164" s="332"/>
      <c r="AK164"/>
      <c r="AM164" s="189"/>
      <c r="AN164" s="189"/>
    </row>
    <row r="165" spans="1:40" ht="13.5" customHeight="1">
      <c r="A165" s="177" t="str">
        <f t="shared" si="3"/>
        <v/>
      </c>
      <c r="E165" s="332"/>
      <c r="AH165" s="332"/>
      <c r="AI165" s="332"/>
      <c r="AJ165" s="332"/>
      <c r="AK165"/>
      <c r="AM165" s="189"/>
      <c r="AN165" s="189"/>
    </row>
    <row r="166" spans="1:40" ht="13.5" customHeight="1">
      <c r="A166" s="177" t="str">
        <f t="shared" si="3"/>
        <v/>
      </c>
      <c r="E166" s="332"/>
      <c r="AH166" s="332"/>
      <c r="AI166" s="332"/>
      <c r="AJ166" s="332"/>
      <c r="AK166"/>
      <c r="AM166" s="189"/>
      <c r="AN166" s="189"/>
    </row>
    <row r="167" spans="1:40" ht="13.5" customHeight="1">
      <c r="A167" s="177" t="str">
        <f t="shared" si="3"/>
        <v/>
      </c>
      <c r="E167" s="332"/>
      <c r="AH167" s="332"/>
      <c r="AI167" s="332"/>
      <c r="AJ167" s="332"/>
      <c r="AK167"/>
      <c r="AM167" s="189"/>
      <c r="AN167" s="189"/>
    </row>
    <row r="168" spans="1:40" ht="13.5" customHeight="1">
      <c r="A168" s="177" t="str">
        <f t="shared" si="3"/>
        <v/>
      </c>
      <c r="E168" s="332"/>
      <c r="AH168" s="332"/>
      <c r="AI168" s="332"/>
      <c r="AJ168" s="332"/>
      <c r="AK168"/>
      <c r="AM168" s="189"/>
      <c r="AN168" s="189"/>
    </row>
    <row r="169" spans="1:40" ht="13.5" customHeight="1">
      <c r="A169" s="177" t="str">
        <f t="shared" si="3"/>
        <v/>
      </c>
      <c r="E169" s="332"/>
      <c r="AH169" s="332"/>
      <c r="AI169" s="332"/>
      <c r="AJ169" s="332"/>
      <c r="AK169"/>
      <c r="AM169" s="189"/>
      <c r="AN169" s="189"/>
    </row>
    <row r="170" spans="1:40" ht="13.5" customHeight="1">
      <c r="A170" s="177" t="str">
        <f t="shared" si="3"/>
        <v/>
      </c>
      <c r="E170" s="332"/>
      <c r="AH170" s="332"/>
      <c r="AI170" s="332"/>
      <c r="AJ170" s="332"/>
      <c r="AK170"/>
      <c r="AM170" s="189"/>
      <c r="AN170" s="189"/>
    </row>
    <row r="171" spans="1:40" ht="13.5" customHeight="1">
      <c r="A171" s="177" t="str">
        <f t="shared" si="3"/>
        <v/>
      </c>
      <c r="E171" s="332"/>
      <c r="AH171" s="332"/>
      <c r="AI171" s="332"/>
      <c r="AJ171" s="332"/>
      <c r="AK171"/>
      <c r="AM171" s="189"/>
      <c r="AN171" s="189"/>
    </row>
    <row r="172" spans="1:40" ht="13.5" customHeight="1">
      <c r="A172" s="177" t="str">
        <f t="shared" si="3"/>
        <v/>
      </c>
      <c r="E172" s="332"/>
      <c r="AH172" s="332"/>
      <c r="AI172" s="332"/>
      <c r="AJ172" s="332"/>
      <c r="AK172"/>
      <c r="AM172" s="189"/>
      <c r="AN172" s="189"/>
    </row>
    <row r="173" spans="1:40" ht="13.5" customHeight="1">
      <c r="A173" s="177" t="str">
        <f t="shared" si="3"/>
        <v/>
      </c>
      <c r="E173" s="332"/>
      <c r="AH173" s="332"/>
      <c r="AI173" s="332"/>
      <c r="AJ173" s="332"/>
      <c r="AK173"/>
      <c r="AM173" s="189"/>
      <c r="AN173" s="189"/>
    </row>
    <row r="174" spans="1:40" ht="13.5" customHeight="1">
      <c r="A174" s="177" t="str">
        <f t="shared" si="3"/>
        <v/>
      </c>
      <c r="E174" s="332"/>
      <c r="AH174" s="332"/>
      <c r="AI174" s="332"/>
      <c r="AJ174" s="332"/>
      <c r="AK174"/>
      <c r="AM174" s="189"/>
      <c r="AN174" s="189"/>
    </row>
    <row r="175" spans="1:40" ht="13.5" customHeight="1">
      <c r="A175" s="177" t="str">
        <f t="shared" si="3"/>
        <v/>
      </c>
      <c r="E175" s="332"/>
      <c r="AH175" s="332"/>
      <c r="AI175" s="332"/>
      <c r="AJ175" s="332"/>
      <c r="AK175"/>
      <c r="AM175" s="189"/>
      <c r="AN175" s="189"/>
    </row>
    <row r="176" spans="1:40" ht="13.5" customHeight="1">
      <c r="A176" s="177" t="str">
        <f t="shared" si="3"/>
        <v/>
      </c>
      <c r="E176" s="332"/>
      <c r="AH176" s="332"/>
      <c r="AI176" s="332"/>
      <c r="AJ176" s="332"/>
      <c r="AK176"/>
      <c r="AM176" s="189"/>
      <c r="AN176" s="189"/>
    </row>
    <row r="177" spans="1:40" ht="13.5" customHeight="1">
      <c r="A177" s="177" t="str">
        <f t="shared" si="3"/>
        <v/>
      </c>
      <c r="E177" s="332"/>
      <c r="AH177" s="332"/>
      <c r="AI177" s="332"/>
      <c r="AJ177" s="332"/>
      <c r="AK177"/>
      <c r="AM177" s="189"/>
      <c r="AN177" s="189"/>
    </row>
    <row r="178" spans="1:40" ht="13.5" customHeight="1">
      <c r="A178" s="177" t="str">
        <f t="shared" si="3"/>
        <v/>
      </c>
      <c r="E178" s="332"/>
      <c r="AH178" s="332"/>
      <c r="AI178" s="332"/>
      <c r="AJ178" s="332"/>
      <c r="AK178"/>
      <c r="AM178" s="189"/>
      <c r="AN178" s="189"/>
    </row>
    <row r="179" spans="1:40" ht="13.5" customHeight="1">
      <c r="A179" s="177" t="str">
        <f t="shared" si="3"/>
        <v/>
      </c>
      <c r="E179" s="332"/>
      <c r="AH179" s="332"/>
      <c r="AI179" s="332"/>
      <c r="AJ179" s="332"/>
      <c r="AK179"/>
      <c r="AM179" s="189"/>
      <c r="AN179" s="189"/>
    </row>
    <row r="180" spans="1:40" ht="13.5" customHeight="1">
      <c r="A180" s="177" t="str">
        <f t="shared" si="3"/>
        <v/>
      </c>
      <c r="E180" s="332"/>
      <c r="AH180" s="332"/>
      <c r="AI180" s="332"/>
      <c r="AJ180" s="332"/>
      <c r="AK180"/>
      <c r="AM180" s="189"/>
      <c r="AN180" s="189"/>
    </row>
    <row r="181" spans="1:40" ht="13.5" customHeight="1">
      <c r="A181" s="177" t="str">
        <f t="shared" si="3"/>
        <v/>
      </c>
      <c r="E181" s="332"/>
      <c r="AH181" s="332"/>
      <c r="AI181" s="332"/>
      <c r="AJ181" s="332"/>
      <c r="AK181"/>
      <c r="AM181" s="189"/>
      <c r="AN181" s="189"/>
    </row>
    <row r="182" spans="1:40" ht="13.5" customHeight="1">
      <c r="A182" s="177" t="str">
        <f t="shared" si="3"/>
        <v/>
      </c>
      <c r="E182" s="332"/>
      <c r="AH182" s="332"/>
      <c r="AI182" s="332"/>
      <c r="AJ182" s="332"/>
      <c r="AK182"/>
      <c r="AM182" s="189"/>
      <c r="AN182" s="189"/>
    </row>
    <row r="183" spans="1:40" ht="13.5" customHeight="1">
      <c r="A183" s="177" t="str">
        <f t="shared" si="3"/>
        <v/>
      </c>
      <c r="E183" s="332"/>
      <c r="AH183" s="332"/>
      <c r="AI183" s="332"/>
      <c r="AJ183" s="332"/>
      <c r="AK183"/>
      <c r="AM183" s="189"/>
      <c r="AN183" s="189"/>
    </row>
    <row r="184" spans="1:40" ht="13.5" customHeight="1">
      <c r="A184" s="177" t="str">
        <f t="shared" si="3"/>
        <v/>
      </c>
      <c r="E184" s="332"/>
      <c r="AH184" s="332"/>
      <c r="AI184" s="332"/>
      <c r="AJ184" s="332"/>
      <c r="AK184"/>
      <c r="AM184" s="189"/>
      <c r="AN184" s="189"/>
    </row>
    <row r="185" spans="1:40" ht="13.5" customHeight="1">
      <c r="A185" s="177" t="str">
        <f t="shared" si="3"/>
        <v/>
      </c>
      <c r="E185" s="332"/>
      <c r="AH185" s="332"/>
      <c r="AI185" s="332"/>
      <c r="AJ185" s="332"/>
      <c r="AK185"/>
      <c r="AM185" s="189"/>
      <c r="AN185" s="189"/>
    </row>
    <row r="186" spans="1:40" ht="13.5" customHeight="1">
      <c r="A186" s="177" t="str">
        <f t="shared" si="3"/>
        <v/>
      </c>
      <c r="E186" s="332"/>
      <c r="AH186" s="332"/>
      <c r="AI186" s="332"/>
      <c r="AJ186" s="332"/>
      <c r="AK186"/>
      <c r="AM186" s="189"/>
      <c r="AN186" s="189"/>
    </row>
    <row r="187" spans="1:40" ht="13.5" customHeight="1">
      <c r="A187" s="177" t="str">
        <f t="shared" si="3"/>
        <v/>
      </c>
      <c r="E187" s="332"/>
      <c r="AH187" s="332"/>
      <c r="AI187" s="332"/>
      <c r="AJ187" s="332"/>
      <c r="AK187"/>
      <c r="AM187" s="189"/>
      <c r="AN187" s="189"/>
    </row>
    <row r="188" spans="1:40" ht="13.5" customHeight="1">
      <c r="A188" s="177" t="str">
        <f t="shared" si="3"/>
        <v/>
      </c>
      <c r="E188" s="332"/>
      <c r="AH188" s="332"/>
      <c r="AI188" s="332"/>
      <c r="AJ188" s="332"/>
      <c r="AK188"/>
      <c r="AM188" s="189"/>
      <c r="AN188" s="189"/>
    </row>
    <row r="189" spans="1:40" ht="13.5" customHeight="1">
      <c r="A189" s="177" t="str">
        <f t="shared" si="3"/>
        <v/>
      </c>
      <c r="E189" s="332"/>
      <c r="AH189" s="332"/>
      <c r="AI189" s="332"/>
      <c r="AJ189" s="332"/>
      <c r="AK189"/>
      <c r="AM189" s="189"/>
      <c r="AN189" s="189"/>
    </row>
    <row r="190" spans="1:40" ht="13.5" customHeight="1">
      <c r="A190" s="177" t="str">
        <f t="shared" si="3"/>
        <v/>
      </c>
      <c r="E190" s="332"/>
      <c r="AH190" s="332"/>
      <c r="AI190" s="332"/>
      <c r="AJ190" s="332"/>
      <c r="AK190"/>
      <c r="AM190" s="189"/>
      <c r="AN190" s="189"/>
    </row>
    <row r="191" spans="1:40" ht="13.5" customHeight="1">
      <c r="A191" s="177" t="str">
        <f t="shared" si="3"/>
        <v/>
      </c>
      <c r="E191" s="332"/>
      <c r="AH191" s="332"/>
      <c r="AI191" s="332"/>
      <c r="AJ191" s="332"/>
      <c r="AK191"/>
      <c r="AM191" s="189"/>
      <c r="AN191" s="189"/>
    </row>
    <row r="192" spans="1:40" ht="13.5" customHeight="1">
      <c r="A192" s="177" t="str">
        <f t="shared" si="3"/>
        <v/>
      </c>
      <c r="E192" s="332"/>
      <c r="AH192" s="332"/>
      <c r="AI192" s="332"/>
      <c r="AJ192" s="332"/>
      <c r="AK192"/>
      <c r="AM192" s="189"/>
      <c r="AN192" s="189"/>
    </row>
    <row r="193" spans="1:40" ht="13.5" customHeight="1">
      <c r="A193" s="177" t="str">
        <f t="shared" si="3"/>
        <v/>
      </c>
      <c r="E193" s="332"/>
      <c r="AH193" s="332"/>
      <c r="AI193" s="332"/>
      <c r="AJ193" s="332"/>
      <c r="AK193"/>
      <c r="AM193" s="189"/>
      <c r="AN193" s="189"/>
    </row>
    <row r="194" spans="1:40" ht="13.5" customHeight="1">
      <c r="A194" s="177" t="str">
        <f t="shared" si="3"/>
        <v/>
      </c>
      <c r="E194" s="332"/>
      <c r="AH194" s="332"/>
      <c r="AI194" s="332"/>
      <c r="AJ194" s="332"/>
      <c r="AK194"/>
      <c r="AM194" s="189"/>
      <c r="AN194" s="189"/>
    </row>
    <row r="195" spans="1:40" ht="13.5" customHeight="1">
      <c r="A195" s="177" t="str">
        <f t="shared" si="3"/>
        <v/>
      </c>
      <c r="E195" s="332"/>
      <c r="AH195" s="332"/>
      <c r="AI195" s="332"/>
      <c r="AJ195" s="332"/>
      <c r="AK195"/>
      <c r="AM195" s="189"/>
      <c r="AN195" s="189"/>
    </row>
    <row r="196" spans="1:40" ht="13.5" customHeight="1">
      <c r="A196" s="177" t="str">
        <f t="shared" si="3"/>
        <v/>
      </c>
      <c r="E196" s="332"/>
      <c r="AH196" s="332"/>
      <c r="AI196" s="332"/>
      <c r="AJ196" s="332"/>
      <c r="AK196"/>
      <c r="AM196" s="189"/>
      <c r="AN196" s="189"/>
    </row>
    <row r="197" spans="1:40" ht="13.5" customHeight="1">
      <c r="A197" s="177" t="str">
        <f t="shared" si="3"/>
        <v/>
      </c>
      <c r="E197" s="332"/>
      <c r="AH197" s="332"/>
      <c r="AI197" s="332"/>
      <c r="AJ197" s="332"/>
      <c r="AK197"/>
      <c r="AM197" s="189"/>
      <c r="AN197" s="189"/>
    </row>
    <row r="198" spans="1:40" ht="13.5" customHeight="1">
      <c r="A198" s="177" t="str">
        <f t="shared" si="3"/>
        <v/>
      </c>
      <c r="E198" s="332"/>
      <c r="AH198" s="332"/>
      <c r="AI198" s="332"/>
      <c r="AJ198" s="332"/>
      <c r="AK198"/>
      <c r="AM198" s="189"/>
      <c r="AN198" s="189"/>
    </row>
    <row r="199" spans="1:40" ht="13.5" customHeight="1">
      <c r="A199" s="177" t="str">
        <f t="shared" si="3"/>
        <v/>
      </c>
      <c r="E199" s="332"/>
      <c r="AH199" s="332"/>
      <c r="AI199" s="332"/>
      <c r="AJ199" s="332"/>
      <c r="AK199"/>
      <c r="AM199" s="189"/>
      <c r="AN199" s="189"/>
    </row>
    <row r="200" spans="1:40" ht="13.5" customHeight="1">
      <c r="A200" s="177" t="str">
        <f t="shared" si="3"/>
        <v/>
      </c>
      <c r="E200" s="332"/>
      <c r="AH200" s="332"/>
      <c r="AI200" s="332"/>
      <c r="AJ200" s="332"/>
      <c r="AK200"/>
      <c r="AM200" s="189"/>
      <c r="AN200" s="189"/>
    </row>
    <row r="201" spans="1:40" ht="13.5" customHeight="1">
      <c r="A201" s="177" t="str">
        <f t="shared" si="3"/>
        <v/>
      </c>
      <c r="E201" s="332"/>
      <c r="AH201" s="332"/>
      <c r="AI201" s="332"/>
      <c r="AJ201" s="332"/>
      <c r="AK201"/>
      <c r="AM201" s="189"/>
      <c r="AN201" s="189"/>
    </row>
    <row r="202" spans="1:40" ht="13.5" customHeight="1">
      <c r="A202" s="177" t="str">
        <f t="shared" si="3"/>
        <v/>
      </c>
      <c r="E202" s="332"/>
      <c r="AH202" s="332"/>
      <c r="AI202" s="332"/>
      <c r="AJ202" s="332"/>
      <c r="AK202"/>
      <c r="AM202" s="189"/>
      <c r="AN202" s="189"/>
    </row>
    <row r="203" spans="1:40" ht="13.5" customHeight="1">
      <c r="A203" s="177" t="str">
        <f t="shared" si="3"/>
        <v/>
      </c>
      <c r="E203" s="332"/>
      <c r="AH203" s="332"/>
      <c r="AI203" s="332"/>
      <c r="AJ203" s="332"/>
      <c r="AK203"/>
      <c r="AM203" s="189"/>
      <c r="AN203" s="189"/>
    </row>
    <row r="204" spans="1:40" ht="13.5" customHeight="1">
      <c r="A204" s="177" t="str">
        <f t="shared" ref="A204:A267" si="4">IF(G204&lt;&gt;"",(C204&amp;"  /  "&amp;D204&amp;"  /  "&amp;TEXT(E204,"dd-Mmm-yy")),"")</f>
        <v/>
      </c>
      <c r="E204" s="332"/>
      <c r="AH204" s="332"/>
      <c r="AI204" s="332"/>
      <c r="AJ204" s="332"/>
      <c r="AK204"/>
      <c r="AM204" s="189"/>
      <c r="AN204" s="189"/>
    </row>
    <row r="205" spans="1:40" ht="13.5" customHeight="1">
      <c r="A205" s="177" t="str">
        <f t="shared" si="4"/>
        <v/>
      </c>
      <c r="E205" s="332"/>
      <c r="AH205" s="332"/>
      <c r="AI205" s="332"/>
      <c r="AJ205" s="332"/>
      <c r="AK205"/>
      <c r="AM205" s="189"/>
      <c r="AN205" s="189"/>
    </row>
    <row r="206" spans="1:40" ht="13.5" customHeight="1">
      <c r="A206" s="177" t="str">
        <f t="shared" si="4"/>
        <v/>
      </c>
      <c r="E206" s="332"/>
      <c r="AH206" s="332"/>
      <c r="AI206" s="332"/>
      <c r="AJ206" s="332"/>
      <c r="AK206"/>
      <c r="AM206" s="189"/>
      <c r="AN206" s="189"/>
    </row>
    <row r="207" spans="1:40" ht="13.5" customHeight="1">
      <c r="A207" s="177" t="str">
        <f t="shared" si="4"/>
        <v/>
      </c>
      <c r="E207" s="332"/>
      <c r="AH207" s="332"/>
      <c r="AI207" s="332"/>
      <c r="AJ207" s="332"/>
      <c r="AK207"/>
      <c r="AM207" s="189"/>
      <c r="AN207" s="189"/>
    </row>
    <row r="208" spans="1:40" ht="13.5" customHeight="1">
      <c r="A208" s="177" t="str">
        <f t="shared" si="4"/>
        <v/>
      </c>
      <c r="E208" s="332"/>
      <c r="AH208" s="332"/>
      <c r="AI208" s="332"/>
      <c r="AJ208" s="332"/>
      <c r="AK208"/>
      <c r="AM208" s="189"/>
      <c r="AN208" s="189"/>
    </row>
    <row r="209" spans="1:40" ht="13.5" customHeight="1">
      <c r="A209" s="177" t="str">
        <f t="shared" si="4"/>
        <v/>
      </c>
      <c r="E209" s="332"/>
      <c r="AH209" s="332"/>
      <c r="AI209" s="332"/>
      <c r="AJ209" s="332"/>
      <c r="AK209"/>
      <c r="AM209" s="189"/>
      <c r="AN209" s="189"/>
    </row>
    <row r="210" spans="1:40" ht="13.5" customHeight="1">
      <c r="A210" s="177" t="str">
        <f t="shared" si="4"/>
        <v/>
      </c>
      <c r="E210" s="332"/>
      <c r="AH210" s="332"/>
      <c r="AI210" s="332"/>
      <c r="AJ210" s="332"/>
      <c r="AK210"/>
      <c r="AM210" s="189"/>
      <c r="AN210" s="189"/>
    </row>
    <row r="211" spans="1:40" ht="13.5" customHeight="1">
      <c r="A211" s="177" t="str">
        <f t="shared" si="4"/>
        <v/>
      </c>
      <c r="E211" s="332"/>
      <c r="AH211" s="332"/>
      <c r="AI211" s="332"/>
      <c r="AJ211" s="332"/>
      <c r="AK211"/>
      <c r="AM211" s="189"/>
      <c r="AN211" s="189"/>
    </row>
    <row r="212" spans="1:40" ht="13.5" customHeight="1">
      <c r="A212" s="177" t="str">
        <f t="shared" si="4"/>
        <v/>
      </c>
      <c r="E212" s="332"/>
      <c r="AH212" s="332"/>
      <c r="AI212" s="332"/>
      <c r="AJ212" s="332"/>
      <c r="AK212"/>
      <c r="AM212" s="189"/>
      <c r="AN212" s="189"/>
    </row>
    <row r="213" spans="1:40" ht="13.5" customHeight="1">
      <c r="A213" s="177" t="str">
        <f t="shared" si="4"/>
        <v/>
      </c>
      <c r="E213" s="332"/>
      <c r="AH213" s="332"/>
      <c r="AI213" s="332"/>
      <c r="AJ213" s="332"/>
      <c r="AK213"/>
      <c r="AM213" s="189"/>
      <c r="AN213" s="189"/>
    </row>
    <row r="214" spans="1:40" ht="13.5" customHeight="1">
      <c r="A214" s="177" t="str">
        <f t="shared" si="4"/>
        <v/>
      </c>
      <c r="E214" s="332"/>
      <c r="AH214" s="332"/>
      <c r="AI214" s="332"/>
      <c r="AJ214" s="332"/>
      <c r="AK214"/>
      <c r="AM214" s="189"/>
      <c r="AN214" s="189"/>
    </row>
    <row r="215" spans="1:40" ht="13.5" customHeight="1">
      <c r="A215" s="177" t="str">
        <f t="shared" si="4"/>
        <v/>
      </c>
      <c r="E215" s="332"/>
      <c r="AH215" s="332"/>
      <c r="AI215" s="332"/>
      <c r="AJ215" s="332"/>
      <c r="AK215"/>
      <c r="AM215" s="189"/>
      <c r="AN215" s="189"/>
    </row>
    <row r="216" spans="1:40" ht="13.5" customHeight="1">
      <c r="A216" s="177" t="str">
        <f t="shared" si="4"/>
        <v/>
      </c>
      <c r="E216" s="332"/>
      <c r="AH216" s="332"/>
      <c r="AI216" s="332"/>
      <c r="AJ216" s="332"/>
      <c r="AK216"/>
      <c r="AM216" s="189"/>
      <c r="AN216" s="189"/>
    </row>
    <row r="217" spans="1:40" ht="13.5" customHeight="1">
      <c r="A217" s="177" t="str">
        <f t="shared" si="4"/>
        <v/>
      </c>
      <c r="E217" s="332"/>
      <c r="AH217" s="332"/>
      <c r="AI217" s="332"/>
      <c r="AJ217" s="332"/>
      <c r="AK217"/>
      <c r="AM217" s="189"/>
      <c r="AN217" s="189"/>
    </row>
    <row r="218" spans="1:40" ht="13.5" customHeight="1">
      <c r="A218" s="177" t="str">
        <f t="shared" si="4"/>
        <v/>
      </c>
      <c r="E218" s="332"/>
      <c r="AH218" s="332"/>
      <c r="AI218" s="332"/>
      <c r="AJ218" s="332"/>
      <c r="AK218"/>
      <c r="AM218" s="189"/>
      <c r="AN218" s="189"/>
    </row>
    <row r="219" spans="1:40" ht="13.5" customHeight="1">
      <c r="A219" s="177" t="str">
        <f t="shared" si="4"/>
        <v/>
      </c>
      <c r="E219" s="332"/>
      <c r="AH219" s="332"/>
      <c r="AI219" s="332"/>
      <c r="AJ219" s="332"/>
      <c r="AK219"/>
      <c r="AM219" s="189"/>
      <c r="AN219" s="189"/>
    </row>
    <row r="220" spans="1:40" ht="13.5" customHeight="1">
      <c r="A220" s="177" t="str">
        <f t="shared" si="4"/>
        <v/>
      </c>
      <c r="E220" s="332"/>
      <c r="AH220" s="332"/>
      <c r="AI220" s="332"/>
      <c r="AJ220" s="332"/>
      <c r="AK220"/>
      <c r="AM220" s="189"/>
      <c r="AN220" s="189"/>
    </row>
    <row r="221" spans="1:40" ht="13.5" customHeight="1">
      <c r="A221" s="177" t="str">
        <f t="shared" si="4"/>
        <v/>
      </c>
      <c r="E221" s="332"/>
      <c r="AH221" s="332"/>
      <c r="AI221" s="332"/>
      <c r="AJ221" s="332"/>
      <c r="AK221"/>
      <c r="AM221" s="189"/>
      <c r="AN221" s="189"/>
    </row>
    <row r="222" spans="1:40" ht="13.5" customHeight="1">
      <c r="A222" s="177" t="str">
        <f t="shared" si="4"/>
        <v/>
      </c>
      <c r="E222" s="332"/>
      <c r="AH222" s="332"/>
      <c r="AI222" s="332"/>
      <c r="AJ222" s="332"/>
      <c r="AK222"/>
      <c r="AM222" s="189"/>
      <c r="AN222" s="189"/>
    </row>
    <row r="223" spans="1:40" ht="13.5" customHeight="1">
      <c r="A223" s="177" t="str">
        <f t="shared" si="4"/>
        <v/>
      </c>
      <c r="E223" s="332"/>
      <c r="AH223" s="332"/>
      <c r="AI223" s="332"/>
      <c r="AJ223" s="332"/>
      <c r="AK223"/>
      <c r="AM223" s="189"/>
      <c r="AN223" s="189"/>
    </row>
    <row r="224" spans="1:40" ht="13.5" customHeight="1">
      <c r="A224" s="177" t="str">
        <f t="shared" si="4"/>
        <v/>
      </c>
      <c r="E224" s="332"/>
      <c r="AH224" s="332"/>
      <c r="AI224" s="332"/>
      <c r="AJ224" s="332"/>
      <c r="AK224"/>
      <c r="AM224" s="189"/>
      <c r="AN224" s="189"/>
    </row>
    <row r="225" spans="1:40" ht="13.5" customHeight="1">
      <c r="A225" s="177" t="str">
        <f t="shared" si="4"/>
        <v/>
      </c>
      <c r="E225" s="332"/>
      <c r="AH225" s="332"/>
      <c r="AI225" s="332"/>
      <c r="AJ225" s="332"/>
      <c r="AK225"/>
      <c r="AM225" s="189"/>
      <c r="AN225" s="189"/>
    </row>
    <row r="226" spans="1:40" ht="13.5" customHeight="1">
      <c r="A226" s="177" t="str">
        <f t="shared" si="4"/>
        <v/>
      </c>
      <c r="E226" s="332"/>
      <c r="AH226" s="332"/>
      <c r="AI226" s="332"/>
      <c r="AJ226" s="332"/>
      <c r="AK226"/>
      <c r="AM226" s="189"/>
      <c r="AN226" s="189"/>
    </row>
    <row r="227" spans="1:40" ht="13.5" customHeight="1">
      <c r="A227" s="177" t="str">
        <f t="shared" si="4"/>
        <v/>
      </c>
      <c r="E227" s="332"/>
      <c r="AH227" s="332"/>
      <c r="AI227" s="332"/>
      <c r="AJ227" s="332"/>
      <c r="AK227"/>
      <c r="AM227" s="189"/>
      <c r="AN227" s="189"/>
    </row>
    <row r="228" spans="1:40" ht="13.5" customHeight="1">
      <c r="A228" s="177" t="str">
        <f t="shared" si="4"/>
        <v/>
      </c>
      <c r="E228" s="332"/>
      <c r="AH228" s="332"/>
      <c r="AI228" s="332"/>
      <c r="AJ228" s="332"/>
      <c r="AK228"/>
      <c r="AM228" s="189"/>
      <c r="AN228" s="189"/>
    </row>
    <row r="229" spans="1:40" ht="13.5" customHeight="1">
      <c r="A229" s="177" t="str">
        <f t="shared" si="4"/>
        <v/>
      </c>
      <c r="E229" s="332"/>
      <c r="AH229" s="332"/>
      <c r="AI229" s="332"/>
      <c r="AJ229" s="332"/>
      <c r="AK229"/>
      <c r="AM229" s="189"/>
      <c r="AN229" s="189"/>
    </row>
    <row r="230" spans="1:40" ht="13.5" customHeight="1">
      <c r="A230" s="177" t="str">
        <f t="shared" si="4"/>
        <v/>
      </c>
      <c r="E230" s="332"/>
      <c r="AH230" s="332"/>
      <c r="AI230" s="332"/>
      <c r="AJ230" s="332"/>
      <c r="AK230"/>
      <c r="AM230" s="189"/>
      <c r="AN230" s="189"/>
    </row>
    <row r="231" spans="1:40" ht="13.5" customHeight="1">
      <c r="A231" s="177" t="str">
        <f t="shared" si="4"/>
        <v/>
      </c>
      <c r="E231" s="332"/>
      <c r="AH231" s="332"/>
      <c r="AI231" s="332"/>
      <c r="AJ231" s="332"/>
      <c r="AK231"/>
      <c r="AM231" s="189"/>
      <c r="AN231" s="189"/>
    </row>
    <row r="232" spans="1:40" ht="13.5" customHeight="1">
      <c r="A232" s="177" t="str">
        <f t="shared" si="4"/>
        <v/>
      </c>
      <c r="E232" s="332"/>
      <c r="AH232" s="332"/>
      <c r="AI232" s="332"/>
      <c r="AJ232" s="332"/>
      <c r="AK232"/>
      <c r="AM232" s="189"/>
      <c r="AN232" s="189"/>
    </row>
    <row r="233" spans="1:40" ht="13.5" customHeight="1">
      <c r="A233" s="177" t="str">
        <f t="shared" si="4"/>
        <v/>
      </c>
      <c r="E233" s="332"/>
      <c r="AH233" s="332"/>
      <c r="AI233" s="332"/>
      <c r="AJ233" s="332"/>
      <c r="AK233"/>
      <c r="AM233" s="189"/>
      <c r="AN233" s="189"/>
    </row>
    <row r="234" spans="1:40" ht="13.5" customHeight="1">
      <c r="A234" s="177" t="str">
        <f t="shared" si="4"/>
        <v/>
      </c>
      <c r="E234" s="332"/>
      <c r="AH234" s="332"/>
      <c r="AI234" s="332"/>
      <c r="AJ234" s="332"/>
      <c r="AK234"/>
      <c r="AM234" s="189"/>
      <c r="AN234" s="189"/>
    </row>
    <row r="235" spans="1:40" ht="13.5" customHeight="1">
      <c r="A235" s="177" t="str">
        <f t="shared" si="4"/>
        <v/>
      </c>
      <c r="E235" s="332"/>
      <c r="AH235" s="332"/>
      <c r="AI235" s="332"/>
      <c r="AJ235" s="332"/>
      <c r="AK235"/>
    </row>
    <row r="236" spans="1:40" ht="13.5" customHeight="1">
      <c r="A236" s="177" t="str">
        <f t="shared" si="4"/>
        <v/>
      </c>
      <c r="E236" s="332"/>
      <c r="AH236" s="332"/>
      <c r="AI236" s="332"/>
      <c r="AJ236" s="332"/>
      <c r="AK236"/>
    </row>
    <row r="237" spans="1:40" ht="13.5" customHeight="1">
      <c r="A237" s="177" t="str">
        <f t="shared" si="4"/>
        <v/>
      </c>
      <c r="E237" s="332"/>
      <c r="AH237" s="332"/>
      <c r="AI237" s="332"/>
      <c r="AJ237" s="332"/>
      <c r="AK237"/>
    </row>
    <row r="238" spans="1:40" ht="13.5" customHeight="1">
      <c r="A238" s="177" t="str">
        <f t="shared" si="4"/>
        <v/>
      </c>
      <c r="E238" s="332"/>
      <c r="AH238" s="332"/>
      <c r="AI238" s="332"/>
      <c r="AJ238" s="332"/>
      <c r="AK238"/>
    </row>
    <row r="239" spans="1:40" ht="13.5" customHeight="1">
      <c r="A239" s="177" t="str">
        <f t="shared" si="4"/>
        <v/>
      </c>
      <c r="E239" s="332"/>
      <c r="AH239" s="332"/>
      <c r="AI239" s="332"/>
      <c r="AJ239" s="332"/>
      <c r="AK239"/>
    </row>
    <row r="240" spans="1:40" ht="13.5" customHeight="1">
      <c r="A240" s="177" t="str">
        <f t="shared" si="4"/>
        <v/>
      </c>
      <c r="E240" s="332"/>
      <c r="AH240" s="332"/>
      <c r="AI240" s="332"/>
      <c r="AJ240" s="332"/>
      <c r="AK240"/>
    </row>
    <row r="241" spans="1:37" ht="13.5" customHeight="1">
      <c r="A241" s="177" t="str">
        <f t="shared" si="4"/>
        <v/>
      </c>
      <c r="E241" s="332"/>
      <c r="AH241" s="332"/>
      <c r="AI241" s="332"/>
      <c r="AJ241" s="332"/>
      <c r="AK241"/>
    </row>
    <row r="242" spans="1:37" ht="13.5" customHeight="1">
      <c r="A242" s="177" t="str">
        <f t="shared" si="4"/>
        <v/>
      </c>
      <c r="E242" s="332"/>
      <c r="AH242" s="332"/>
      <c r="AI242" s="332"/>
      <c r="AJ242" s="332"/>
      <c r="AK242"/>
    </row>
    <row r="243" spans="1:37" ht="13.5" customHeight="1">
      <c r="A243" s="177" t="str">
        <f t="shared" si="4"/>
        <v/>
      </c>
      <c r="E243" s="332"/>
      <c r="AH243" s="332"/>
      <c r="AI243" s="332"/>
      <c r="AJ243" s="332"/>
      <c r="AK243"/>
    </row>
    <row r="244" spans="1:37" ht="13.5" customHeight="1">
      <c r="A244" s="177" t="str">
        <f t="shared" si="4"/>
        <v/>
      </c>
      <c r="E244" s="332"/>
      <c r="AH244" s="332"/>
      <c r="AI244" s="332"/>
      <c r="AJ244" s="332"/>
      <c r="AK244"/>
    </row>
    <row r="245" spans="1:37" ht="13.5" customHeight="1">
      <c r="A245" s="177" t="str">
        <f t="shared" si="4"/>
        <v/>
      </c>
      <c r="E245" s="332"/>
      <c r="AH245" s="332"/>
      <c r="AI245" s="332"/>
      <c r="AJ245" s="332"/>
      <c r="AK245"/>
    </row>
    <row r="246" spans="1:37" ht="13.5" customHeight="1">
      <c r="A246" s="177" t="str">
        <f t="shared" si="4"/>
        <v/>
      </c>
      <c r="E246" s="332"/>
      <c r="AH246" s="332"/>
      <c r="AI246" s="332"/>
      <c r="AJ246" s="332"/>
      <c r="AK246"/>
    </row>
    <row r="247" spans="1:37" ht="13.5" customHeight="1">
      <c r="A247" s="177" t="str">
        <f t="shared" si="4"/>
        <v/>
      </c>
      <c r="E247" s="332"/>
      <c r="AH247" s="332"/>
      <c r="AI247" s="332"/>
      <c r="AJ247" s="332"/>
      <c r="AK247"/>
    </row>
    <row r="248" spans="1:37" ht="13.5" customHeight="1">
      <c r="A248" s="177" t="str">
        <f t="shared" si="4"/>
        <v/>
      </c>
      <c r="E248" s="332"/>
      <c r="AH248" s="332"/>
      <c r="AI248" s="332"/>
      <c r="AJ248" s="332"/>
      <c r="AK248"/>
    </row>
    <row r="249" spans="1:37" ht="13.5" customHeight="1">
      <c r="A249" s="177" t="str">
        <f t="shared" si="4"/>
        <v/>
      </c>
      <c r="E249" s="332"/>
      <c r="AH249" s="332"/>
      <c r="AI249" s="332"/>
      <c r="AJ249" s="332"/>
      <c r="AK249"/>
    </row>
    <row r="250" spans="1:37" ht="13.5" customHeight="1">
      <c r="A250" s="177" t="str">
        <f t="shared" si="4"/>
        <v/>
      </c>
      <c r="E250" s="332"/>
      <c r="AH250" s="332"/>
      <c r="AI250" s="332"/>
      <c r="AJ250" s="332"/>
      <c r="AK250"/>
    </row>
    <row r="251" spans="1:37" ht="13.5" customHeight="1">
      <c r="A251" s="177" t="str">
        <f t="shared" si="4"/>
        <v/>
      </c>
      <c r="E251" s="332"/>
      <c r="AH251" s="332"/>
      <c r="AI251" s="332"/>
      <c r="AJ251" s="332"/>
      <c r="AK251"/>
    </row>
    <row r="252" spans="1:37" ht="13.5" customHeight="1">
      <c r="A252" s="177" t="str">
        <f t="shared" si="4"/>
        <v/>
      </c>
      <c r="E252" s="332"/>
      <c r="AH252" s="332"/>
      <c r="AI252" s="332"/>
      <c r="AJ252" s="332"/>
      <c r="AK252"/>
    </row>
    <row r="253" spans="1:37" ht="13.5" customHeight="1">
      <c r="A253" s="177" t="str">
        <f t="shared" si="4"/>
        <v/>
      </c>
      <c r="E253" s="332"/>
      <c r="AH253" s="332"/>
      <c r="AI253" s="332"/>
      <c r="AJ253" s="332"/>
      <c r="AK253"/>
    </row>
    <row r="254" spans="1:37" ht="13.5" customHeight="1">
      <c r="A254" s="177" t="str">
        <f t="shared" si="4"/>
        <v/>
      </c>
      <c r="E254" s="332"/>
      <c r="AH254" s="332"/>
      <c r="AI254" s="332"/>
      <c r="AJ254" s="332"/>
      <c r="AK254"/>
    </row>
    <row r="255" spans="1:37" ht="13.5" customHeight="1">
      <c r="A255" s="177" t="str">
        <f t="shared" si="4"/>
        <v/>
      </c>
      <c r="E255" s="332"/>
      <c r="AH255" s="332"/>
      <c r="AI255" s="332"/>
      <c r="AJ255" s="332"/>
      <c r="AK255"/>
    </row>
    <row r="256" spans="1:37" ht="13.5" customHeight="1">
      <c r="A256" s="177" t="str">
        <f t="shared" si="4"/>
        <v/>
      </c>
      <c r="E256" s="332"/>
      <c r="AH256" s="332"/>
      <c r="AI256" s="332"/>
      <c r="AJ256" s="332"/>
      <c r="AK256"/>
    </row>
    <row r="257" spans="1:37" ht="13.5" customHeight="1">
      <c r="A257" s="177" t="str">
        <f t="shared" si="4"/>
        <v/>
      </c>
      <c r="E257" s="332"/>
      <c r="AH257" s="332"/>
      <c r="AI257" s="332"/>
      <c r="AJ257" s="332"/>
      <c r="AK257"/>
    </row>
    <row r="258" spans="1:37" ht="13.5" customHeight="1">
      <c r="A258" s="177" t="str">
        <f t="shared" si="4"/>
        <v/>
      </c>
      <c r="E258" s="332"/>
      <c r="AH258" s="332"/>
      <c r="AI258" s="332"/>
      <c r="AJ258" s="332"/>
      <c r="AK258"/>
    </row>
    <row r="259" spans="1:37" ht="13.5" customHeight="1">
      <c r="A259" s="177" t="str">
        <f t="shared" si="4"/>
        <v/>
      </c>
      <c r="E259" s="332"/>
      <c r="AH259" s="332"/>
      <c r="AI259" s="332"/>
      <c r="AJ259" s="332"/>
      <c r="AK259"/>
    </row>
    <row r="260" spans="1:37" ht="13.5" customHeight="1">
      <c r="A260" s="177" t="str">
        <f t="shared" si="4"/>
        <v/>
      </c>
      <c r="E260" s="332"/>
      <c r="AH260" s="332"/>
      <c r="AI260" s="332"/>
      <c r="AJ260" s="332"/>
      <c r="AK260"/>
    </row>
    <row r="261" spans="1:37" ht="13.5" customHeight="1">
      <c r="A261" s="177" t="str">
        <f t="shared" si="4"/>
        <v/>
      </c>
      <c r="E261" s="332"/>
      <c r="AH261" s="332"/>
      <c r="AI261" s="332"/>
      <c r="AJ261" s="332"/>
      <c r="AK261"/>
    </row>
    <row r="262" spans="1:37" ht="13.5" customHeight="1">
      <c r="A262" s="177" t="str">
        <f t="shared" si="4"/>
        <v/>
      </c>
      <c r="E262" s="332"/>
      <c r="AH262" s="332"/>
      <c r="AI262" s="332"/>
      <c r="AJ262" s="332"/>
      <c r="AK262"/>
    </row>
    <row r="263" spans="1:37" ht="13.5" customHeight="1">
      <c r="A263" s="177" t="str">
        <f t="shared" si="4"/>
        <v/>
      </c>
      <c r="E263" s="332"/>
      <c r="AH263" s="332"/>
      <c r="AI263" s="332"/>
      <c r="AJ263" s="332"/>
      <c r="AK263"/>
    </row>
    <row r="264" spans="1:37" ht="13.5" customHeight="1">
      <c r="A264" s="177" t="str">
        <f t="shared" si="4"/>
        <v/>
      </c>
      <c r="E264" s="332"/>
      <c r="AH264" s="332"/>
      <c r="AI264" s="332"/>
      <c r="AJ264" s="332"/>
      <c r="AK264"/>
    </row>
    <row r="265" spans="1:37" ht="13.5" customHeight="1">
      <c r="A265" s="177" t="str">
        <f t="shared" si="4"/>
        <v/>
      </c>
      <c r="E265" s="332"/>
      <c r="AH265" s="332"/>
      <c r="AI265" s="332"/>
      <c r="AJ265" s="332"/>
      <c r="AK265"/>
    </row>
    <row r="266" spans="1:37" ht="13.5" customHeight="1">
      <c r="A266" s="177" t="str">
        <f t="shared" si="4"/>
        <v/>
      </c>
      <c r="E266" s="332"/>
      <c r="AH266" s="332"/>
      <c r="AI266" s="332"/>
      <c r="AJ266" s="332"/>
      <c r="AK266"/>
    </row>
    <row r="267" spans="1:37" ht="13.5" customHeight="1">
      <c r="A267" s="177" t="str">
        <f t="shared" si="4"/>
        <v/>
      </c>
      <c r="E267" s="332"/>
      <c r="AH267" s="332"/>
      <c r="AI267" s="332"/>
      <c r="AJ267" s="332"/>
      <c r="AK267"/>
    </row>
    <row r="268" spans="1:37" ht="13.5" customHeight="1">
      <c r="A268" s="177" t="str">
        <f t="shared" ref="A268:A331" si="5">IF(G268&lt;&gt;"",(C268&amp;"  /  "&amp;D268&amp;"  /  "&amp;TEXT(E268,"dd-Mmm-yy")),"")</f>
        <v/>
      </c>
      <c r="E268" s="332"/>
      <c r="AH268" s="332"/>
      <c r="AI268" s="332"/>
      <c r="AJ268" s="332"/>
      <c r="AK268"/>
    </row>
    <row r="269" spans="1:37" ht="13.5" customHeight="1">
      <c r="A269" s="177" t="str">
        <f t="shared" si="5"/>
        <v/>
      </c>
      <c r="E269" s="332"/>
      <c r="AH269" s="332"/>
      <c r="AI269" s="332"/>
      <c r="AJ269" s="332"/>
      <c r="AK269"/>
    </row>
    <row r="270" spans="1:37" ht="13.5" customHeight="1">
      <c r="A270" s="177" t="str">
        <f t="shared" si="5"/>
        <v/>
      </c>
      <c r="E270" s="332"/>
      <c r="AH270" s="332"/>
      <c r="AI270" s="332"/>
      <c r="AJ270" s="332"/>
      <c r="AK270"/>
    </row>
    <row r="271" spans="1:37" ht="13.5" customHeight="1">
      <c r="A271" s="177" t="str">
        <f t="shared" si="5"/>
        <v/>
      </c>
      <c r="E271" s="332"/>
      <c r="AH271" s="332"/>
      <c r="AI271" s="332"/>
      <c r="AJ271" s="332"/>
      <c r="AK271"/>
    </row>
    <row r="272" spans="1:37" ht="13.5" customHeight="1">
      <c r="A272" s="177" t="str">
        <f t="shared" si="5"/>
        <v/>
      </c>
      <c r="E272" s="332"/>
      <c r="AH272" s="332"/>
      <c r="AI272" s="332"/>
      <c r="AJ272" s="332"/>
      <c r="AK272"/>
    </row>
    <row r="273" spans="1:37" ht="13.5" customHeight="1">
      <c r="A273" s="177" t="str">
        <f t="shared" si="5"/>
        <v/>
      </c>
      <c r="E273" s="332"/>
      <c r="AH273" s="332"/>
      <c r="AI273" s="332"/>
      <c r="AJ273" s="332"/>
      <c r="AK273"/>
    </row>
    <row r="274" spans="1:37" ht="13.5" customHeight="1">
      <c r="A274" s="177" t="str">
        <f t="shared" si="5"/>
        <v/>
      </c>
      <c r="E274" s="332"/>
      <c r="AH274" s="332"/>
      <c r="AI274" s="332"/>
      <c r="AJ274" s="332"/>
      <c r="AK274"/>
    </row>
    <row r="275" spans="1:37" ht="13.5" customHeight="1">
      <c r="A275" s="177" t="str">
        <f t="shared" si="5"/>
        <v/>
      </c>
      <c r="E275" s="332"/>
      <c r="AH275" s="332"/>
      <c r="AI275" s="332"/>
      <c r="AJ275" s="332"/>
      <c r="AK275"/>
    </row>
    <row r="276" spans="1:37" ht="13.5" customHeight="1">
      <c r="A276" s="177" t="str">
        <f t="shared" si="5"/>
        <v/>
      </c>
      <c r="E276" s="332"/>
      <c r="AH276" s="332"/>
      <c r="AI276" s="332"/>
      <c r="AJ276" s="332"/>
      <c r="AK276"/>
    </row>
    <row r="277" spans="1:37" ht="13.5" customHeight="1">
      <c r="A277" s="177" t="str">
        <f t="shared" si="5"/>
        <v/>
      </c>
      <c r="E277" s="332"/>
      <c r="AH277" s="332"/>
      <c r="AI277" s="332"/>
      <c r="AJ277" s="332"/>
      <c r="AK277"/>
    </row>
    <row r="278" spans="1:37" ht="13.5" customHeight="1">
      <c r="A278" s="177" t="str">
        <f t="shared" si="5"/>
        <v/>
      </c>
      <c r="E278" s="332"/>
      <c r="AH278" s="332"/>
      <c r="AI278" s="332"/>
      <c r="AJ278" s="332"/>
      <c r="AK278"/>
    </row>
    <row r="279" spans="1:37" ht="13.5" customHeight="1">
      <c r="A279" s="177" t="str">
        <f t="shared" si="5"/>
        <v/>
      </c>
      <c r="E279" s="332"/>
      <c r="AH279" s="332"/>
      <c r="AI279" s="332"/>
      <c r="AJ279" s="332"/>
      <c r="AK279"/>
    </row>
    <row r="280" spans="1:37" ht="13.5" customHeight="1">
      <c r="A280" s="177" t="str">
        <f t="shared" si="5"/>
        <v/>
      </c>
      <c r="E280" s="332"/>
      <c r="AH280" s="332"/>
      <c r="AI280" s="332"/>
      <c r="AJ280" s="332"/>
      <c r="AK280"/>
    </row>
    <row r="281" spans="1:37" ht="13.5" customHeight="1">
      <c r="A281" s="177" t="str">
        <f t="shared" si="5"/>
        <v/>
      </c>
      <c r="E281" s="332"/>
      <c r="AH281" s="332"/>
      <c r="AI281" s="332"/>
      <c r="AJ281" s="332"/>
      <c r="AK281"/>
    </row>
    <row r="282" spans="1:37" ht="13.5" customHeight="1">
      <c r="A282" s="177" t="str">
        <f t="shared" si="5"/>
        <v/>
      </c>
      <c r="E282" s="332"/>
      <c r="AH282" s="332"/>
      <c r="AI282" s="332"/>
      <c r="AJ282" s="332"/>
      <c r="AK282"/>
    </row>
    <row r="283" spans="1:37" ht="13.5" customHeight="1">
      <c r="A283" s="177" t="str">
        <f t="shared" si="5"/>
        <v/>
      </c>
      <c r="E283" s="332"/>
      <c r="AH283" s="332"/>
      <c r="AI283" s="332"/>
      <c r="AJ283" s="332"/>
      <c r="AK283"/>
    </row>
    <row r="284" spans="1:37" ht="13.5" customHeight="1">
      <c r="A284" s="177" t="str">
        <f t="shared" si="5"/>
        <v/>
      </c>
      <c r="E284" s="332"/>
      <c r="AH284" s="332"/>
      <c r="AI284" s="332"/>
      <c r="AJ284" s="332"/>
      <c r="AK284"/>
    </row>
    <row r="285" spans="1:37" ht="13.5" customHeight="1">
      <c r="A285" s="177" t="str">
        <f t="shared" si="5"/>
        <v/>
      </c>
      <c r="E285" s="332"/>
      <c r="AH285" s="332"/>
      <c r="AI285" s="332"/>
      <c r="AJ285" s="332"/>
      <c r="AK285"/>
    </row>
    <row r="286" spans="1:37" ht="13.5" customHeight="1">
      <c r="A286" s="177" t="str">
        <f t="shared" si="5"/>
        <v/>
      </c>
      <c r="E286" s="332"/>
      <c r="AH286" s="332"/>
      <c r="AI286" s="332"/>
      <c r="AJ286" s="332"/>
      <c r="AK286"/>
    </row>
    <row r="287" spans="1:37" ht="13.5" customHeight="1">
      <c r="A287" s="177" t="str">
        <f t="shared" si="5"/>
        <v/>
      </c>
      <c r="E287" s="332"/>
      <c r="AH287" s="332"/>
      <c r="AI287" s="332"/>
      <c r="AJ287" s="332"/>
      <c r="AK287"/>
    </row>
    <row r="288" spans="1:37" ht="13.5" customHeight="1">
      <c r="A288" s="177" t="str">
        <f t="shared" si="5"/>
        <v/>
      </c>
      <c r="E288" s="332"/>
      <c r="AH288" s="332"/>
      <c r="AI288" s="332"/>
      <c r="AJ288" s="332"/>
      <c r="AK288"/>
    </row>
    <row r="289" spans="1:37" ht="13.5" customHeight="1">
      <c r="A289" s="177" t="str">
        <f t="shared" si="5"/>
        <v/>
      </c>
      <c r="E289" s="332"/>
      <c r="AH289" s="332"/>
      <c r="AI289" s="332"/>
      <c r="AJ289" s="332"/>
      <c r="AK289"/>
    </row>
    <row r="290" spans="1:37" ht="13.5" customHeight="1">
      <c r="A290" s="177" t="str">
        <f t="shared" si="5"/>
        <v/>
      </c>
      <c r="E290" s="332"/>
      <c r="AH290" s="332"/>
      <c r="AI290" s="332"/>
      <c r="AJ290" s="332"/>
      <c r="AK290"/>
    </row>
    <row r="291" spans="1:37" ht="13.5" customHeight="1">
      <c r="A291" s="177" t="str">
        <f t="shared" si="5"/>
        <v/>
      </c>
      <c r="E291" s="332"/>
      <c r="AH291" s="332"/>
      <c r="AI291" s="332"/>
      <c r="AJ291" s="332"/>
      <c r="AK291"/>
    </row>
    <row r="292" spans="1:37" ht="13.5" customHeight="1">
      <c r="A292" s="177" t="str">
        <f t="shared" si="5"/>
        <v/>
      </c>
      <c r="E292" s="332"/>
      <c r="AH292" s="332"/>
      <c r="AI292" s="332"/>
      <c r="AJ292" s="332"/>
      <c r="AK292"/>
    </row>
    <row r="293" spans="1:37" ht="13.5" customHeight="1">
      <c r="A293" s="177" t="str">
        <f t="shared" si="5"/>
        <v/>
      </c>
      <c r="E293" s="332"/>
      <c r="AH293" s="332"/>
      <c r="AI293" s="332"/>
      <c r="AJ293" s="332"/>
      <c r="AK293"/>
    </row>
    <row r="294" spans="1:37" ht="13.5" customHeight="1">
      <c r="A294" s="177" t="str">
        <f t="shared" si="5"/>
        <v/>
      </c>
      <c r="E294" s="332"/>
      <c r="AH294" s="332"/>
      <c r="AI294" s="332"/>
      <c r="AJ294" s="332"/>
      <c r="AK294"/>
    </row>
    <row r="295" spans="1:37" ht="13.5" customHeight="1">
      <c r="A295" s="177" t="str">
        <f t="shared" si="5"/>
        <v/>
      </c>
      <c r="E295" s="332"/>
      <c r="AH295" s="332"/>
      <c r="AI295" s="332"/>
      <c r="AJ295" s="332"/>
      <c r="AK295"/>
    </row>
    <row r="296" spans="1:37" ht="13.5" customHeight="1">
      <c r="A296" s="177" t="str">
        <f t="shared" si="5"/>
        <v/>
      </c>
      <c r="E296" s="332"/>
      <c r="AH296" s="332"/>
      <c r="AI296" s="332"/>
      <c r="AJ296" s="332"/>
      <c r="AK296"/>
    </row>
    <row r="297" spans="1:37" ht="13.5" customHeight="1">
      <c r="A297" s="177" t="str">
        <f t="shared" si="5"/>
        <v/>
      </c>
      <c r="E297" s="332"/>
      <c r="AH297" s="332"/>
      <c r="AI297" s="332"/>
      <c r="AJ297" s="332"/>
      <c r="AK297"/>
    </row>
    <row r="298" spans="1:37" ht="13.5" customHeight="1">
      <c r="A298" s="177" t="str">
        <f t="shared" si="5"/>
        <v/>
      </c>
      <c r="E298" s="332"/>
      <c r="AH298" s="332"/>
      <c r="AI298" s="332"/>
      <c r="AJ298" s="332"/>
      <c r="AK298"/>
    </row>
    <row r="299" spans="1:37" ht="13.5" customHeight="1">
      <c r="A299" s="177" t="str">
        <f t="shared" si="5"/>
        <v/>
      </c>
      <c r="E299" s="332"/>
      <c r="AH299" s="332"/>
      <c r="AI299" s="332"/>
      <c r="AJ299" s="332"/>
      <c r="AK299"/>
    </row>
    <row r="300" spans="1:37" ht="13.5" customHeight="1">
      <c r="A300" s="177" t="str">
        <f t="shared" si="5"/>
        <v/>
      </c>
      <c r="E300" s="332"/>
      <c r="AH300" s="332"/>
      <c r="AI300" s="332"/>
      <c r="AJ300" s="332"/>
      <c r="AK300"/>
    </row>
    <row r="301" spans="1:37" ht="13.5" customHeight="1">
      <c r="A301" s="177" t="str">
        <f t="shared" si="5"/>
        <v/>
      </c>
      <c r="E301" s="332"/>
      <c r="AH301" s="332"/>
      <c r="AI301" s="332"/>
      <c r="AJ301" s="332"/>
      <c r="AK301"/>
    </row>
    <row r="302" spans="1:37" ht="13.5" customHeight="1">
      <c r="A302" s="177" t="str">
        <f t="shared" si="5"/>
        <v/>
      </c>
      <c r="E302" s="332"/>
      <c r="AH302" s="332"/>
      <c r="AI302" s="332"/>
      <c r="AJ302" s="332"/>
      <c r="AK302"/>
    </row>
    <row r="303" spans="1:37" ht="13.5" customHeight="1">
      <c r="A303" s="177" t="str">
        <f t="shared" si="5"/>
        <v/>
      </c>
      <c r="E303" s="332"/>
      <c r="AH303" s="332"/>
      <c r="AI303" s="332"/>
      <c r="AJ303" s="332"/>
      <c r="AK303"/>
    </row>
    <row r="304" spans="1:37" ht="13.5" customHeight="1">
      <c r="A304" s="177" t="str">
        <f t="shared" si="5"/>
        <v/>
      </c>
      <c r="E304" s="332"/>
      <c r="AH304" s="332"/>
      <c r="AI304" s="332"/>
      <c r="AJ304" s="332"/>
      <c r="AK304"/>
    </row>
    <row r="305" spans="1:37" ht="13.5" customHeight="1">
      <c r="A305" s="177" t="str">
        <f t="shared" si="5"/>
        <v/>
      </c>
      <c r="E305" s="332"/>
      <c r="AH305" s="332"/>
      <c r="AI305" s="332"/>
      <c r="AJ305" s="332"/>
      <c r="AK305"/>
    </row>
    <row r="306" spans="1:37" ht="13.5" customHeight="1">
      <c r="A306" s="177" t="str">
        <f t="shared" si="5"/>
        <v/>
      </c>
      <c r="E306" s="332"/>
      <c r="AH306" s="332"/>
      <c r="AI306" s="332"/>
      <c r="AJ306" s="332"/>
      <c r="AK306"/>
    </row>
    <row r="307" spans="1:37" ht="13.5" customHeight="1">
      <c r="A307" s="177" t="str">
        <f t="shared" si="5"/>
        <v/>
      </c>
      <c r="E307" s="332"/>
      <c r="AH307" s="332"/>
      <c r="AI307" s="332"/>
      <c r="AJ307" s="332"/>
      <c r="AK307"/>
    </row>
    <row r="308" spans="1:37" ht="13.5" customHeight="1">
      <c r="A308" s="177" t="str">
        <f t="shared" si="5"/>
        <v/>
      </c>
      <c r="E308" s="332"/>
      <c r="AH308" s="332"/>
      <c r="AI308" s="332"/>
      <c r="AJ308" s="332"/>
      <c r="AK308"/>
    </row>
    <row r="309" spans="1:37" ht="13.5" customHeight="1">
      <c r="A309" s="177" t="str">
        <f t="shared" si="5"/>
        <v/>
      </c>
      <c r="E309" s="332"/>
      <c r="AH309" s="332"/>
      <c r="AI309" s="332"/>
      <c r="AJ309" s="332"/>
      <c r="AK309"/>
    </row>
    <row r="310" spans="1:37" ht="13.5" customHeight="1">
      <c r="A310" s="177" t="str">
        <f t="shared" si="5"/>
        <v/>
      </c>
      <c r="E310" s="332"/>
      <c r="AH310" s="332"/>
      <c r="AI310" s="332"/>
      <c r="AJ310" s="332"/>
      <c r="AK310"/>
    </row>
    <row r="311" spans="1:37" ht="13.5" customHeight="1">
      <c r="A311" s="177" t="str">
        <f t="shared" si="5"/>
        <v/>
      </c>
      <c r="E311" s="332"/>
      <c r="AH311" s="332"/>
      <c r="AI311" s="332"/>
      <c r="AJ311" s="332"/>
      <c r="AK311"/>
    </row>
    <row r="312" spans="1:37" ht="13.5" customHeight="1">
      <c r="A312" s="177" t="str">
        <f t="shared" si="5"/>
        <v/>
      </c>
      <c r="E312" s="332"/>
      <c r="AH312" s="332"/>
      <c r="AI312" s="332"/>
      <c r="AJ312" s="332"/>
      <c r="AK312"/>
    </row>
    <row r="313" spans="1:37" ht="13.5" customHeight="1">
      <c r="A313" s="177" t="str">
        <f t="shared" si="5"/>
        <v/>
      </c>
      <c r="E313" s="332"/>
      <c r="AH313" s="332"/>
      <c r="AI313" s="332"/>
      <c r="AJ313" s="332"/>
      <c r="AK313"/>
    </row>
    <row r="314" spans="1:37" ht="13.5" customHeight="1">
      <c r="A314" s="177" t="str">
        <f t="shared" si="5"/>
        <v/>
      </c>
      <c r="E314" s="332"/>
      <c r="AH314" s="332"/>
      <c r="AI314" s="332"/>
      <c r="AJ314" s="332"/>
      <c r="AK314"/>
    </row>
    <row r="315" spans="1:37" ht="13.5" customHeight="1">
      <c r="A315" s="177" t="str">
        <f t="shared" si="5"/>
        <v/>
      </c>
      <c r="E315" s="332"/>
      <c r="AH315" s="332"/>
      <c r="AI315" s="332"/>
      <c r="AJ315" s="332"/>
      <c r="AK315"/>
    </row>
    <row r="316" spans="1:37" ht="13.5" customHeight="1">
      <c r="A316" s="177" t="str">
        <f t="shared" si="5"/>
        <v/>
      </c>
      <c r="E316" s="332"/>
      <c r="AH316" s="332"/>
      <c r="AI316" s="332"/>
      <c r="AJ316" s="332"/>
      <c r="AK316"/>
    </row>
    <row r="317" spans="1:37" ht="13.5" customHeight="1">
      <c r="A317" s="177" t="str">
        <f t="shared" si="5"/>
        <v/>
      </c>
      <c r="E317" s="332"/>
      <c r="AH317" s="332"/>
      <c r="AI317" s="332"/>
      <c r="AJ317" s="332"/>
      <c r="AK317"/>
    </row>
    <row r="318" spans="1:37" ht="13.5" customHeight="1">
      <c r="A318" s="177" t="str">
        <f t="shared" si="5"/>
        <v/>
      </c>
      <c r="E318" s="332"/>
      <c r="AH318" s="332"/>
      <c r="AI318" s="332"/>
      <c r="AJ318" s="332"/>
      <c r="AK318"/>
    </row>
    <row r="319" spans="1:37" ht="13.5" customHeight="1">
      <c r="A319" s="177" t="str">
        <f t="shared" si="5"/>
        <v/>
      </c>
      <c r="E319" s="332"/>
      <c r="AH319" s="332"/>
      <c r="AI319" s="332"/>
      <c r="AJ319" s="332"/>
      <c r="AK319"/>
    </row>
    <row r="320" spans="1:37" ht="13.5" customHeight="1">
      <c r="A320" s="177" t="str">
        <f t="shared" si="5"/>
        <v/>
      </c>
      <c r="E320" s="332"/>
      <c r="AH320" s="332"/>
      <c r="AI320" s="332"/>
      <c r="AJ320" s="332"/>
      <c r="AK320"/>
    </row>
    <row r="321" spans="1:37" ht="13.5" customHeight="1">
      <c r="A321" s="177" t="str">
        <f t="shared" si="5"/>
        <v/>
      </c>
      <c r="E321" s="332"/>
      <c r="AH321" s="332"/>
      <c r="AI321" s="332"/>
      <c r="AJ321" s="332"/>
      <c r="AK321"/>
    </row>
    <row r="322" spans="1:37" ht="13.5" customHeight="1">
      <c r="A322" s="177" t="str">
        <f t="shared" si="5"/>
        <v/>
      </c>
      <c r="E322" s="332"/>
      <c r="AH322" s="332"/>
      <c r="AI322" s="332"/>
      <c r="AJ322" s="332"/>
      <c r="AK322"/>
    </row>
    <row r="323" spans="1:37" ht="13.5" customHeight="1">
      <c r="A323" s="177" t="str">
        <f t="shared" si="5"/>
        <v/>
      </c>
      <c r="E323" s="332"/>
      <c r="AH323" s="332"/>
      <c r="AI323" s="332"/>
      <c r="AJ323" s="332"/>
      <c r="AK323"/>
    </row>
    <row r="324" spans="1:37" ht="13.5" customHeight="1">
      <c r="A324" s="177" t="str">
        <f t="shared" si="5"/>
        <v/>
      </c>
      <c r="E324" s="332"/>
      <c r="AH324" s="332"/>
      <c r="AI324" s="332"/>
      <c r="AJ324" s="332"/>
      <c r="AK324"/>
    </row>
    <row r="325" spans="1:37" ht="13.5" customHeight="1">
      <c r="A325" s="177" t="str">
        <f t="shared" si="5"/>
        <v/>
      </c>
      <c r="E325" s="332"/>
      <c r="AH325" s="332"/>
      <c r="AI325" s="332"/>
      <c r="AJ325" s="332"/>
      <c r="AK325"/>
    </row>
    <row r="326" spans="1:37" ht="13.5" customHeight="1">
      <c r="A326" s="177" t="str">
        <f t="shared" si="5"/>
        <v/>
      </c>
      <c r="E326" s="332"/>
      <c r="AH326" s="332"/>
      <c r="AI326" s="332"/>
      <c r="AJ326" s="332"/>
      <c r="AK326"/>
    </row>
    <row r="327" spans="1:37" ht="13.5" customHeight="1">
      <c r="A327" s="177" t="str">
        <f t="shared" si="5"/>
        <v/>
      </c>
      <c r="E327" s="332"/>
      <c r="AH327" s="332"/>
      <c r="AI327" s="332"/>
      <c r="AJ327" s="332"/>
      <c r="AK327"/>
    </row>
    <row r="328" spans="1:37" ht="13.5" customHeight="1">
      <c r="A328" s="177" t="str">
        <f t="shared" si="5"/>
        <v/>
      </c>
      <c r="E328" s="332"/>
      <c r="AH328" s="332"/>
      <c r="AI328" s="332"/>
      <c r="AJ328" s="332"/>
      <c r="AK328"/>
    </row>
    <row r="329" spans="1:37" ht="13.5" customHeight="1">
      <c r="A329" s="177" t="str">
        <f t="shared" si="5"/>
        <v/>
      </c>
      <c r="E329" s="332"/>
      <c r="AH329" s="332"/>
      <c r="AI329" s="332"/>
      <c r="AJ329" s="332"/>
      <c r="AK329"/>
    </row>
    <row r="330" spans="1:37" ht="13.5" customHeight="1">
      <c r="A330" s="177" t="str">
        <f t="shared" si="5"/>
        <v/>
      </c>
      <c r="E330" s="332"/>
      <c r="AH330" s="332"/>
      <c r="AI330" s="332"/>
      <c r="AJ330" s="332"/>
      <c r="AK330"/>
    </row>
    <row r="331" spans="1:37" ht="13.5" customHeight="1">
      <c r="A331" s="177" t="str">
        <f t="shared" si="5"/>
        <v/>
      </c>
      <c r="E331" s="332"/>
      <c r="AH331" s="332"/>
      <c r="AI331" s="332"/>
      <c r="AJ331" s="332"/>
      <c r="AK331"/>
    </row>
    <row r="332" spans="1:37" ht="13.5" customHeight="1">
      <c r="A332" s="177" t="str">
        <f t="shared" ref="A332:A395" si="6">IF(G332&lt;&gt;"",(C332&amp;"  /  "&amp;D332&amp;"  /  "&amp;TEXT(E332,"dd-Mmm-yy")),"")</f>
        <v/>
      </c>
      <c r="E332" s="332"/>
      <c r="AH332" s="332"/>
      <c r="AI332" s="332"/>
      <c r="AJ332" s="332"/>
      <c r="AK332"/>
    </row>
    <row r="333" spans="1:37" ht="13.5" customHeight="1">
      <c r="A333" s="177" t="str">
        <f t="shared" si="6"/>
        <v/>
      </c>
      <c r="E333" s="332"/>
      <c r="AH333" s="332"/>
      <c r="AI333" s="332"/>
      <c r="AJ333" s="332"/>
      <c r="AK333"/>
    </row>
    <row r="334" spans="1:37" ht="13.5" customHeight="1">
      <c r="A334" s="177" t="str">
        <f t="shared" si="6"/>
        <v/>
      </c>
      <c r="E334" s="332"/>
      <c r="AH334" s="332"/>
      <c r="AI334" s="332"/>
      <c r="AJ334" s="332"/>
      <c r="AK334"/>
    </row>
    <row r="335" spans="1:37" ht="13.5" customHeight="1">
      <c r="A335" s="177" t="str">
        <f t="shared" si="6"/>
        <v/>
      </c>
      <c r="E335" s="332"/>
      <c r="AH335" s="332"/>
      <c r="AI335" s="332"/>
      <c r="AJ335" s="332"/>
      <c r="AK335"/>
    </row>
    <row r="336" spans="1:37" ht="13.5" customHeight="1">
      <c r="A336" s="177" t="str">
        <f t="shared" si="6"/>
        <v/>
      </c>
      <c r="E336" s="332"/>
      <c r="AH336" s="332"/>
      <c r="AI336" s="332"/>
      <c r="AJ336" s="332"/>
      <c r="AK336"/>
    </row>
    <row r="337" spans="1:37" ht="13.5" customHeight="1">
      <c r="A337" s="177" t="str">
        <f t="shared" si="6"/>
        <v/>
      </c>
      <c r="E337" s="332"/>
      <c r="AH337" s="332"/>
      <c r="AI337" s="332"/>
      <c r="AJ337" s="332"/>
      <c r="AK337"/>
    </row>
    <row r="338" spans="1:37" ht="13.5" customHeight="1">
      <c r="A338" s="177" t="str">
        <f t="shared" si="6"/>
        <v/>
      </c>
      <c r="E338" s="332"/>
      <c r="AH338" s="332"/>
      <c r="AI338" s="332"/>
      <c r="AJ338" s="332"/>
      <c r="AK338"/>
    </row>
    <row r="339" spans="1:37" ht="13.5" customHeight="1">
      <c r="A339" s="177" t="str">
        <f t="shared" si="6"/>
        <v/>
      </c>
      <c r="E339" s="332"/>
      <c r="AH339" s="332"/>
      <c r="AI339" s="332"/>
      <c r="AJ339" s="332"/>
      <c r="AK339"/>
    </row>
    <row r="340" spans="1:37" ht="13.5" customHeight="1">
      <c r="A340" s="177" t="str">
        <f t="shared" si="6"/>
        <v/>
      </c>
      <c r="E340" s="332"/>
      <c r="AH340" s="332"/>
      <c r="AI340" s="332"/>
      <c r="AJ340" s="332"/>
      <c r="AK340"/>
    </row>
    <row r="341" spans="1:37" ht="13.5" customHeight="1">
      <c r="A341" s="177" t="str">
        <f t="shared" si="6"/>
        <v/>
      </c>
      <c r="E341" s="332"/>
      <c r="AH341" s="332"/>
      <c r="AI341" s="332"/>
      <c r="AJ341" s="332"/>
      <c r="AK341"/>
    </row>
    <row r="342" spans="1:37" ht="13.5" customHeight="1">
      <c r="A342" s="177" t="str">
        <f t="shared" si="6"/>
        <v/>
      </c>
      <c r="E342" s="332"/>
      <c r="AH342" s="332"/>
      <c r="AI342" s="332"/>
      <c r="AJ342" s="332"/>
      <c r="AK342"/>
    </row>
    <row r="343" spans="1:37" ht="13.5" customHeight="1">
      <c r="A343" s="177" t="str">
        <f t="shared" si="6"/>
        <v/>
      </c>
      <c r="E343" s="332"/>
      <c r="AH343" s="332"/>
      <c r="AI343" s="332"/>
      <c r="AJ343" s="332"/>
      <c r="AK343"/>
    </row>
    <row r="344" spans="1:37" ht="13.5" customHeight="1">
      <c r="A344" s="177" t="str">
        <f t="shared" si="6"/>
        <v/>
      </c>
      <c r="E344" s="332"/>
      <c r="AH344" s="332"/>
      <c r="AI344" s="332"/>
      <c r="AJ344" s="332"/>
      <c r="AK344"/>
    </row>
    <row r="345" spans="1:37" ht="13.5" customHeight="1">
      <c r="A345" s="177" t="str">
        <f t="shared" si="6"/>
        <v/>
      </c>
      <c r="E345" s="332"/>
      <c r="AH345" s="332"/>
      <c r="AI345" s="332"/>
      <c r="AJ345" s="332"/>
      <c r="AK345"/>
    </row>
    <row r="346" spans="1:37" ht="13.5" customHeight="1">
      <c r="A346" s="177" t="str">
        <f t="shared" si="6"/>
        <v/>
      </c>
      <c r="E346" s="332"/>
      <c r="AH346" s="332"/>
      <c r="AI346" s="332"/>
      <c r="AJ346" s="332"/>
      <c r="AK346"/>
    </row>
    <row r="347" spans="1:37" ht="13.5" customHeight="1">
      <c r="A347" s="177" t="str">
        <f t="shared" si="6"/>
        <v/>
      </c>
      <c r="E347" s="332"/>
      <c r="AH347" s="332"/>
      <c r="AI347" s="332"/>
      <c r="AJ347" s="332"/>
      <c r="AK347"/>
    </row>
    <row r="348" spans="1:37" ht="13.5" customHeight="1">
      <c r="A348" s="177" t="str">
        <f t="shared" si="6"/>
        <v/>
      </c>
      <c r="E348" s="332"/>
      <c r="AH348" s="332"/>
      <c r="AI348" s="332"/>
      <c r="AJ348" s="332"/>
      <c r="AK348"/>
    </row>
    <row r="349" spans="1:37" ht="13.5" customHeight="1">
      <c r="A349" s="177" t="str">
        <f t="shared" si="6"/>
        <v/>
      </c>
      <c r="E349" s="332"/>
      <c r="AH349" s="332"/>
      <c r="AI349" s="332"/>
      <c r="AJ349" s="332"/>
      <c r="AK349"/>
    </row>
    <row r="350" spans="1:37" ht="13.5" customHeight="1">
      <c r="A350" s="177" t="str">
        <f t="shared" si="6"/>
        <v/>
      </c>
      <c r="E350" s="332"/>
      <c r="AH350" s="332"/>
      <c r="AI350" s="332"/>
      <c r="AJ350" s="332"/>
      <c r="AK350"/>
    </row>
    <row r="351" spans="1:37" ht="13.5" customHeight="1">
      <c r="A351" s="177" t="str">
        <f t="shared" si="6"/>
        <v/>
      </c>
      <c r="E351" s="332"/>
      <c r="AH351" s="332"/>
      <c r="AI351" s="332"/>
      <c r="AJ351" s="332"/>
      <c r="AK351"/>
    </row>
    <row r="352" spans="1:37" ht="13.5" customHeight="1">
      <c r="A352" s="177" t="str">
        <f t="shared" si="6"/>
        <v/>
      </c>
      <c r="E352" s="332"/>
      <c r="AH352" s="332"/>
      <c r="AI352" s="332"/>
      <c r="AJ352" s="332"/>
      <c r="AK352"/>
    </row>
    <row r="353" spans="1:37" ht="13.5" customHeight="1">
      <c r="A353" s="177" t="str">
        <f t="shared" si="6"/>
        <v/>
      </c>
      <c r="E353" s="332"/>
      <c r="AH353" s="332"/>
      <c r="AI353" s="332"/>
      <c r="AJ353" s="332"/>
      <c r="AK353"/>
    </row>
    <row r="354" spans="1:37" ht="13.5" customHeight="1">
      <c r="A354" s="177" t="str">
        <f t="shared" si="6"/>
        <v/>
      </c>
      <c r="E354" s="332"/>
      <c r="AH354" s="332"/>
      <c r="AI354" s="332"/>
      <c r="AJ354" s="332"/>
      <c r="AK354"/>
    </row>
    <row r="355" spans="1:37" ht="13.5" customHeight="1">
      <c r="A355" s="177" t="str">
        <f t="shared" si="6"/>
        <v/>
      </c>
      <c r="E355" s="332"/>
      <c r="AH355" s="332"/>
      <c r="AI355" s="332"/>
      <c r="AJ355" s="332"/>
      <c r="AK355"/>
    </row>
    <row r="356" spans="1:37" ht="13.5" customHeight="1">
      <c r="A356" s="177" t="str">
        <f t="shared" si="6"/>
        <v/>
      </c>
      <c r="E356" s="332"/>
      <c r="AH356" s="332"/>
      <c r="AI356" s="332"/>
      <c r="AJ356" s="332"/>
      <c r="AK356"/>
    </row>
    <row r="357" spans="1:37" ht="13.5" customHeight="1">
      <c r="A357" s="177" t="str">
        <f t="shared" si="6"/>
        <v/>
      </c>
      <c r="E357" s="332"/>
      <c r="AH357" s="332"/>
      <c r="AI357" s="332"/>
      <c r="AJ357" s="332"/>
      <c r="AK357"/>
    </row>
    <row r="358" spans="1:37" ht="13.5" customHeight="1">
      <c r="A358" s="177" t="str">
        <f t="shared" si="6"/>
        <v/>
      </c>
      <c r="E358" s="332"/>
      <c r="AH358" s="332"/>
      <c r="AI358" s="332"/>
      <c r="AJ358" s="332"/>
      <c r="AK358"/>
    </row>
    <row r="359" spans="1:37" ht="13.5" customHeight="1">
      <c r="A359" s="177" t="str">
        <f t="shared" si="6"/>
        <v/>
      </c>
      <c r="E359" s="332"/>
      <c r="AH359" s="332"/>
      <c r="AI359" s="332"/>
      <c r="AJ359" s="332"/>
      <c r="AK359"/>
    </row>
    <row r="360" spans="1:37" ht="13.5" customHeight="1">
      <c r="A360" s="177" t="str">
        <f t="shared" si="6"/>
        <v/>
      </c>
      <c r="E360" s="332"/>
      <c r="AH360" s="332"/>
      <c r="AI360" s="332"/>
      <c r="AJ360" s="332"/>
      <c r="AK360"/>
    </row>
    <row r="361" spans="1:37" ht="13.5" customHeight="1">
      <c r="A361" s="177" t="str">
        <f t="shared" si="6"/>
        <v/>
      </c>
      <c r="E361" s="332"/>
      <c r="AH361" s="332"/>
      <c r="AI361" s="332"/>
      <c r="AJ361" s="332"/>
      <c r="AK361"/>
    </row>
    <row r="362" spans="1:37" ht="13.5" customHeight="1">
      <c r="A362" s="177" t="str">
        <f t="shared" si="6"/>
        <v/>
      </c>
      <c r="E362" s="332"/>
      <c r="AH362" s="332"/>
      <c r="AI362" s="332"/>
      <c r="AJ362" s="332"/>
      <c r="AK362"/>
    </row>
    <row r="363" spans="1:37" ht="13.5" customHeight="1">
      <c r="A363" s="177" t="str">
        <f t="shared" si="6"/>
        <v/>
      </c>
      <c r="E363" s="332"/>
      <c r="AH363" s="332"/>
      <c r="AI363" s="332"/>
      <c r="AJ363" s="332"/>
      <c r="AK363"/>
    </row>
    <row r="364" spans="1:37" ht="13.5" customHeight="1">
      <c r="A364" s="177" t="str">
        <f t="shared" si="6"/>
        <v/>
      </c>
      <c r="E364" s="332"/>
      <c r="AH364" s="332"/>
      <c r="AI364" s="332"/>
      <c r="AJ364" s="332"/>
      <c r="AK364"/>
    </row>
    <row r="365" spans="1:37" ht="13.5" customHeight="1">
      <c r="A365" s="177" t="str">
        <f t="shared" si="6"/>
        <v/>
      </c>
      <c r="E365" s="332"/>
      <c r="AH365" s="332"/>
      <c r="AI365" s="332"/>
      <c r="AJ365" s="332"/>
      <c r="AK365"/>
    </row>
    <row r="366" spans="1:37" ht="13.5" customHeight="1">
      <c r="A366" s="177" t="str">
        <f t="shared" si="6"/>
        <v/>
      </c>
      <c r="E366" s="332"/>
      <c r="AH366" s="332"/>
      <c r="AI366" s="332"/>
      <c r="AJ366" s="332"/>
      <c r="AK366"/>
    </row>
    <row r="367" spans="1:37" ht="13.5" customHeight="1">
      <c r="A367" s="177" t="str">
        <f t="shared" si="6"/>
        <v/>
      </c>
      <c r="E367" s="332"/>
      <c r="AH367" s="332"/>
      <c r="AI367" s="332"/>
      <c r="AJ367" s="332"/>
      <c r="AK367"/>
    </row>
    <row r="368" spans="1:37" ht="13.5" customHeight="1">
      <c r="A368" s="177" t="str">
        <f t="shared" si="6"/>
        <v/>
      </c>
      <c r="E368" s="332"/>
      <c r="AH368" s="332"/>
      <c r="AI368" s="332"/>
      <c r="AJ368" s="332"/>
      <c r="AK368"/>
    </row>
    <row r="369" spans="1:37" ht="13.5" customHeight="1">
      <c r="A369" s="177" t="str">
        <f t="shared" si="6"/>
        <v/>
      </c>
      <c r="E369" s="332"/>
      <c r="AH369" s="332"/>
      <c r="AI369" s="332"/>
      <c r="AJ369" s="332"/>
      <c r="AK369"/>
    </row>
    <row r="370" spans="1:37" ht="13.5" customHeight="1">
      <c r="A370" s="177" t="str">
        <f t="shared" si="6"/>
        <v/>
      </c>
      <c r="E370" s="332"/>
      <c r="AH370" s="332"/>
      <c r="AI370" s="332"/>
      <c r="AJ370" s="332"/>
      <c r="AK370"/>
    </row>
    <row r="371" spans="1:37" ht="13.5" customHeight="1">
      <c r="A371" s="177" t="str">
        <f t="shared" si="6"/>
        <v/>
      </c>
      <c r="E371" s="332"/>
      <c r="AH371" s="332"/>
      <c r="AI371" s="332"/>
      <c r="AJ371" s="332"/>
      <c r="AK371"/>
    </row>
    <row r="372" spans="1:37" ht="13.5" customHeight="1">
      <c r="A372" s="177" t="str">
        <f t="shared" si="6"/>
        <v/>
      </c>
      <c r="E372" s="332"/>
      <c r="AH372" s="332"/>
      <c r="AI372" s="332"/>
      <c r="AJ372" s="332"/>
      <c r="AK372"/>
    </row>
    <row r="373" spans="1:37" ht="13.5" customHeight="1">
      <c r="A373" s="177" t="str">
        <f t="shared" si="6"/>
        <v/>
      </c>
      <c r="E373" s="332"/>
      <c r="AH373" s="332"/>
      <c r="AI373" s="332"/>
      <c r="AJ373" s="332"/>
      <c r="AK373"/>
    </row>
    <row r="374" spans="1:37" ht="13.5" customHeight="1">
      <c r="A374" s="177" t="str">
        <f t="shared" si="6"/>
        <v/>
      </c>
      <c r="E374" s="332"/>
      <c r="AH374" s="332"/>
      <c r="AI374" s="332"/>
      <c r="AJ374" s="332"/>
      <c r="AK374"/>
    </row>
    <row r="375" spans="1:37" ht="13.5" customHeight="1">
      <c r="A375" s="177" t="str">
        <f t="shared" si="6"/>
        <v/>
      </c>
      <c r="E375" s="332"/>
      <c r="AH375" s="332"/>
      <c r="AI375" s="332"/>
      <c r="AJ375" s="332"/>
      <c r="AK375"/>
    </row>
    <row r="376" spans="1:37" ht="13.5" customHeight="1">
      <c r="A376" s="177" t="str">
        <f t="shared" si="6"/>
        <v/>
      </c>
      <c r="E376" s="332"/>
      <c r="AH376" s="332"/>
      <c r="AI376" s="332"/>
      <c r="AJ376" s="332"/>
      <c r="AK376"/>
    </row>
    <row r="377" spans="1:37" ht="13.5" customHeight="1">
      <c r="A377" s="177" t="str">
        <f t="shared" si="6"/>
        <v/>
      </c>
      <c r="E377" s="332"/>
      <c r="AH377" s="332"/>
      <c r="AI377" s="332"/>
      <c r="AJ377" s="332"/>
      <c r="AK377"/>
    </row>
    <row r="378" spans="1:37" ht="13.5" customHeight="1">
      <c r="A378" s="177" t="str">
        <f t="shared" si="6"/>
        <v/>
      </c>
      <c r="E378" s="332"/>
      <c r="AH378" s="332"/>
      <c r="AI378" s="332"/>
      <c r="AJ378" s="332"/>
      <c r="AK378"/>
    </row>
    <row r="379" spans="1:37" ht="13.5" customHeight="1">
      <c r="A379" s="177" t="str">
        <f t="shared" si="6"/>
        <v/>
      </c>
      <c r="E379" s="332"/>
      <c r="AH379" s="332"/>
      <c r="AI379" s="332"/>
      <c r="AJ379" s="332"/>
      <c r="AK379"/>
    </row>
    <row r="380" spans="1:37" ht="13.5" customHeight="1">
      <c r="A380" s="177" t="str">
        <f t="shared" si="6"/>
        <v/>
      </c>
      <c r="E380" s="332"/>
      <c r="AH380" s="332"/>
      <c r="AI380" s="332"/>
      <c r="AJ380" s="332"/>
      <c r="AK380"/>
    </row>
    <row r="381" spans="1:37" ht="13.5" customHeight="1">
      <c r="A381" s="177" t="str">
        <f t="shared" si="6"/>
        <v/>
      </c>
      <c r="E381" s="332"/>
      <c r="AH381" s="332"/>
      <c r="AI381" s="332"/>
      <c r="AJ381" s="332"/>
      <c r="AK381"/>
    </row>
    <row r="382" spans="1:37" ht="13.5" customHeight="1">
      <c r="A382" s="177" t="str">
        <f t="shared" si="6"/>
        <v/>
      </c>
      <c r="E382" s="332"/>
      <c r="AH382" s="332"/>
      <c r="AI382" s="332"/>
      <c r="AJ382" s="332"/>
      <c r="AK382"/>
    </row>
    <row r="383" spans="1:37" ht="13.5" customHeight="1">
      <c r="A383" s="177" t="str">
        <f t="shared" si="6"/>
        <v/>
      </c>
      <c r="E383" s="332"/>
      <c r="AH383" s="332"/>
      <c r="AI383" s="332"/>
      <c r="AJ383" s="332"/>
      <c r="AK383"/>
    </row>
    <row r="384" spans="1:37" ht="13.5" customHeight="1">
      <c r="A384" s="177" t="str">
        <f t="shared" si="6"/>
        <v/>
      </c>
      <c r="E384" s="332"/>
      <c r="AH384" s="332"/>
      <c r="AI384" s="332"/>
      <c r="AJ384" s="332"/>
      <c r="AK384"/>
    </row>
    <row r="385" spans="1:37" ht="13.5" customHeight="1">
      <c r="A385" s="177" t="str">
        <f t="shared" si="6"/>
        <v/>
      </c>
      <c r="E385" s="332"/>
      <c r="AH385" s="332"/>
      <c r="AI385" s="332"/>
      <c r="AJ385" s="332"/>
      <c r="AK385"/>
    </row>
    <row r="386" spans="1:37" ht="13.5" customHeight="1">
      <c r="A386" s="177" t="str">
        <f t="shared" si="6"/>
        <v/>
      </c>
      <c r="E386" s="332"/>
      <c r="AH386" s="332"/>
      <c r="AI386" s="332"/>
      <c r="AJ386" s="332"/>
      <c r="AK386"/>
    </row>
    <row r="387" spans="1:37" ht="13.5" customHeight="1">
      <c r="A387" s="177" t="str">
        <f t="shared" si="6"/>
        <v/>
      </c>
      <c r="E387" s="332"/>
      <c r="AH387" s="332"/>
      <c r="AI387" s="332"/>
      <c r="AJ387" s="332"/>
      <c r="AK387"/>
    </row>
    <row r="388" spans="1:37" ht="13.5" customHeight="1">
      <c r="A388" s="177" t="str">
        <f t="shared" si="6"/>
        <v/>
      </c>
      <c r="E388" s="332"/>
      <c r="AH388" s="332"/>
      <c r="AI388" s="332"/>
      <c r="AJ388" s="332"/>
      <c r="AK388"/>
    </row>
    <row r="389" spans="1:37" ht="13.5" customHeight="1">
      <c r="A389" s="177" t="str">
        <f t="shared" si="6"/>
        <v/>
      </c>
      <c r="E389" s="332"/>
      <c r="AH389" s="332"/>
      <c r="AI389" s="332"/>
      <c r="AJ389" s="332"/>
      <c r="AK389"/>
    </row>
    <row r="390" spans="1:37" ht="13.5" customHeight="1">
      <c r="A390" s="177" t="str">
        <f t="shared" si="6"/>
        <v/>
      </c>
      <c r="E390" s="332"/>
      <c r="AH390" s="332"/>
      <c r="AI390" s="332"/>
      <c r="AJ390" s="332"/>
      <c r="AK390"/>
    </row>
    <row r="391" spans="1:37" ht="13.5" customHeight="1">
      <c r="A391" s="177" t="str">
        <f t="shared" si="6"/>
        <v/>
      </c>
      <c r="E391" s="332"/>
      <c r="AH391" s="332"/>
      <c r="AI391" s="332"/>
      <c r="AJ391" s="332"/>
      <c r="AK391"/>
    </row>
    <row r="392" spans="1:37" ht="13.5" customHeight="1">
      <c r="A392" s="177" t="str">
        <f t="shared" si="6"/>
        <v/>
      </c>
      <c r="E392" s="332"/>
      <c r="AH392" s="332"/>
      <c r="AI392" s="332"/>
      <c r="AJ392" s="332"/>
      <c r="AK392"/>
    </row>
    <row r="393" spans="1:37" ht="13.5" customHeight="1">
      <c r="A393" s="177" t="str">
        <f t="shared" si="6"/>
        <v/>
      </c>
      <c r="E393" s="332"/>
      <c r="AH393" s="332"/>
      <c r="AI393" s="332"/>
      <c r="AJ393" s="332"/>
      <c r="AK393"/>
    </row>
    <row r="394" spans="1:37" ht="13.5" customHeight="1">
      <c r="A394" s="177" t="str">
        <f t="shared" si="6"/>
        <v/>
      </c>
      <c r="E394" s="332"/>
      <c r="AH394" s="332"/>
      <c r="AI394" s="332"/>
      <c r="AJ394" s="332"/>
      <c r="AK394"/>
    </row>
    <row r="395" spans="1:37" ht="13.5" customHeight="1">
      <c r="A395" s="177" t="str">
        <f t="shared" si="6"/>
        <v/>
      </c>
      <c r="E395" s="332"/>
      <c r="AH395" s="332"/>
      <c r="AI395" s="332"/>
      <c r="AJ395" s="332"/>
      <c r="AK395"/>
    </row>
    <row r="396" spans="1:37" ht="13.5" customHeight="1">
      <c r="A396" s="177" t="str">
        <f t="shared" ref="A396:A419" si="7">IF(G396&lt;&gt;"",(C396&amp;"  /  "&amp;D396&amp;"  /  "&amp;TEXT(E396,"dd-Mmm-yy")),"")</f>
        <v/>
      </c>
      <c r="E396" s="332"/>
      <c r="AH396" s="332"/>
      <c r="AI396" s="332"/>
      <c r="AJ396" s="332"/>
      <c r="AK396"/>
    </row>
    <row r="397" spans="1:37" ht="13.5" customHeight="1">
      <c r="A397" s="177" t="str">
        <f t="shared" si="7"/>
        <v/>
      </c>
      <c r="E397" s="332"/>
      <c r="AH397" s="332"/>
      <c r="AI397" s="332"/>
      <c r="AJ397" s="332"/>
      <c r="AK397"/>
    </row>
    <row r="398" spans="1:37" ht="13.5" customHeight="1">
      <c r="A398" s="177" t="str">
        <f t="shared" si="7"/>
        <v/>
      </c>
      <c r="E398" s="332"/>
      <c r="AH398" s="332"/>
      <c r="AI398" s="332"/>
      <c r="AJ398" s="332"/>
      <c r="AK398"/>
    </row>
    <row r="399" spans="1:37" ht="13.5" customHeight="1">
      <c r="A399" s="177" t="str">
        <f t="shared" si="7"/>
        <v/>
      </c>
      <c r="E399" s="332"/>
      <c r="AH399" s="332"/>
      <c r="AI399" s="332"/>
      <c r="AJ399" s="332"/>
      <c r="AK399"/>
    </row>
    <row r="400" spans="1:37" ht="13.5" customHeight="1">
      <c r="A400" s="177" t="str">
        <f t="shared" si="7"/>
        <v/>
      </c>
      <c r="E400" s="332"/>
      <c r="AH400" s="332"/>
      <c r="AI400" s="332"/>
      <c r="AJ400" s="332"/>
      <c r="AK400"/>
    </row>
    <row r="401" spans="1:37" ht="13.5" customHeight="1">
      <c r="A401" s="177" t="str">
        <f t="shared" si="7"/>
        <v/>
      </c>
      <c r="E401" s="332"/>
      <c r="AH401" s="332"/>
      <c r="AI401" s="332"/>
      <c r="AJ401" s="332"/>
      <c r="AK401"/>
    </row>
    <row r="402" spans="1:37" ht="13.5" customHeight="1">
      <c r="A402" s="177" t="str">
        <f t="shared" si="7"/>
        <v/>
      </c>
      <c r="E402" s="332"/>
      <c r="AH402" s="332"/>
      <c r="AI402" s="332"/>
      <c r="AJ402" s="332"/>
      <c r="AK402"/>
    </row>
    <row r="403" spans="1:37" ht="13.5" customHeight="1">
      <c r="A403" s="177" t="str">
        <f t="shared" si="7"/>
        <v/>
      </c>
      <c r="E403" s="332"/>
      <c r="AH403" s="332"/>
      <c r="AI403" s="332"/>
      <c r="AJ403" s="332"/>
      <c r="AK403"/>
    </row>
    <row r="404" spans="1:37" ht="13.5" customHeight="1">
      <c r="A404" s="177" t="str">
        <f t="shared" si="7"/>
        <v/>
      </c>
      <c r="E404" s="332"/>
      <c r="AH404" s="332"/>
      <c r="AI404" s="332"/>
      <c r="AJ404" s="332"/>
      <c r="AK404"/>
    </row>
    <row r="405" spans="1:37" ht="13.5" customHeight="1">
      <c r="A405" s="177" t="str">
        <f t="shared" si="7"/>
        <v/>
      </c>
      <c r="E405" s="332"/>
      <c r="AH405" s="332"/>
      <c r="AI405" s="332"/>
      <c r="AJ405" s="332"/>
      <c r="AK405"/>
    </row>
    <row r="406" spans="1:37" ht="13.5" customHeight="1">
      <c r="A406" s="177" t="str">
        <f t="shared" si="7"/>
        <v/>
      </c>
      <c r="E406" s="332"/>
      <c r="AH406" s="332"/>
      <c r="AI406" s="332"/>
      <c r="AJ406" s="332"/>
      <c r="AK406"/>
    </row>
    <row r="407" spans="1:37" ht="13.5" customHeight="1">
      <c r="A407" s="177" t="str">
        <f t="shared" si="7"/>
        <v/>
      </c>
      <c r="E407" s="332"/>
      <c r="AH407" s="332"/>
      <c r="AI407" s="332"/>
      <c r="AJ407" s="332"/>
      <c r="AK407"/>
    </row>
    <row r="408" spans="1:37" ht="13.5" customHeight="1">
      <c r="A408" s="177" t="str">
        <f t="shared" si="7"/>
        <v/>
      </c>
      <c r="E408" s="332"/>
      <c r="AH408" s="332"/>
      <c r="AI408" s="332"/>
      <c r="AJ408" s="332"/>
      <c r="AK408"/>
    </row>
    <row r="409" spans="1:37" ht="13.5" customHeight="1">
      <c r="A409" s="177" t="str">
        <f t="shared" si="7"/>
        <v/>
      </c>
      <c r="E409" s="332"/>
      <c r="AH409" s="332"/>
      <c r="AI409" s="332"/>
      <c r="AJ409" s="332"/>
      <c r="AK409"/>
    </row>
    <row r="410" spans="1:37" ht="13.5" customHeight="1">
      <c r="A410" s="177" t="str">
        <f t="shared" si="7"/>
        <v/>
      </c>
      <c r="E410" s="332"/>
      <c r="AH410" s="332"/>
      <c r="AI410" s="332"/>
      <c r="AJ410" s="332"/>
      <c r="AK410"/>
    </row>
    <row r="411" spans="1:37" ht="13.5" customHeight="1">
      <c r="A411" s="177" t="str">
        <f t="shared" si="7"/>
        <v/>
      </c>
      <c r="E411" s="332"/>
      <c r="AH411" s="332"/>
      <c r="AI411" s="332"/>
      <c r="AJ411" s="332"/>
      <c r="AK411"/>
    </row>
    <row r="412" spans="1:37" ht="13.5" customHeight="1">
      <c r="A412" s="177" t="str">
        <f t="shared" si="7"/>
        <v/>
      </c>
      <c r="E412" s="332"/>
      <c r="AH412" s="332"/>
      <c r="AI412" s="332"/>
      <c r="AJ412" s="332"/>
      <c r="AK412"/>
    </row>
    <row r="413" spans="1:37" ht="13.5" customHeight="1">
      <c r="A413" s="177" t="str">
        <f t="shared" si="7"/>
        <v/>
      </c>
      <c r="E413" s="332"/>
      <c r="AH413" s="332"/>
      <c r="AI413" s="332"/>
      <c r="AJ413" s="332"/>
      <c r="AK413"/>
    </row>
    <row r="414" spans="1:37" ht="13.5" customHeight="1">
      <c r="A414" s="177" t="str">
        <f t="shared" si="7"/>
        <v/>
      </c>
      <c r="E414" s="332"/>
      <c r="AH414" s="332"/>
      <c r="AI414" s="332"/>
      <c r="AJ414" s="332"/>
      <c r="AK414"/>
    </row>
    <row r="415" spans="1:37" ht="13.5" customHeight="1">
      <c r="A415" s="177" t="str">
        <f t="shared" si="7"/>
        <v/>
      </c>
      <c r="E415" s="332"/>
      <c r="AH415" s="332"/>
      <c r="AI415" s="332"/>
      <c r="AJ415" s="332"/>
      <c r="AK415"/>
    </row>
    <row r="416" spans="1:37" ht="13.5" customHeight="1">
      <c r="A416" s="177" t="str">
        <f t="shared" si="7"/>
        <v/>
      </c>
      <c r="E416" s="332"/>
      <c r="AH416" s="332"/>
      <c r="AI416" s="332"/>
      <c r="AJ416" s="332"/>
      <c r="AK416"/>
    </row>
    <row r="417" spans="1:37" ht="13.5" customHeight="1">
      <c r="A417" s="177" t="str">
        <f t="shared" si="7"/>
        <v/>
      </c>
      <c r="E417" s="332"/>
      <c r="AH417" s="332"/>
      <c r="AI417" s="332"/>
      <c r="AJ417" s="332"/>
      <c r="AK417"/>
    </row>
    <row r="418" spans="1:37" ht="13.5" customHeight="1">
      <c r="A418" s="177" t="str">
        <f t="shared" si="7"/>
        <v/>
      </c>
      <c r="E418" s="332"/>
      <c r="AH418" s="332"/>
      <c r="AI418" s="332"/>
      <c r="AJ418" s="332"/>
      <c r="AK418"/>
    </row>
    <row r="419" spans="1:37" ht="13.5" customHeight="1">
      <c r="A419" s="177" t="str">
        <f t="shared" si="7"/>
        <v/>
      </c>
      <c r="E419" s="332"/>
      <c r="AH419" s="332"/>
      <c r="AI419" s="332"/>
      <c r="AJ419" s="332"/>
      <c r="AK419"/>
    </row>
    <row r="420" spans="1:37" ht="13.5" customHeight="1">
      <c r="E420" s="332"/>
      <c r="AH420" s="332"/>
      <c r="AI420" s="332"/>
      <c r="AJ420" s="332"/>
      <c r="AK420"/>
    </row>
    <row r="421" spans="1:37" ht="13.5" customHeight="1">
      <c r="E421" s="332"/>
      <c r="AH421" s="332"/>
      <c r="AI421" s="332"/>
      <c r="AJ421" s="332"/>
      <c r="AK421"/>
    </row>
    <row r="422" spans="1:37" ht="13.5" customHeight="1">
      <c r="E422" s="332"/>
      <c r="AH422" s="332"/>
      <c r="AI422" s="332"/>
      <c r="AJ422" s="332"/>
      <c r="AK422"/>
    </row>
    <row r="423" spans="1:37" ht="13.5" customHeight="1">
      <c r="E423" s="332"/>
      <c r="AH423" s="332"/>
      <c r="AI423" s="332"/>
      <c r="AJ423" s="332"/>
      <c r="AK423"/>
    </row>
    <row r="424" spans="1:37" ht="13.5" customHeight="1">
      <c r="E424" s="332"/>
      <c r="AH424" s="332"/>
      <c r="AI424" s="332"/>
      <c r="AJ424" s="332"/>
      <c r="AK424"/>
    </row>
    <row r="425" spans="1:37" ht="13.5" customHeight="1">
      <c r="E425" s="332"/>
      <c r="AH425" s="332"/>
      <c r="AI425" s="332"/>
      <c r="AJ425" s="332"/>
      <c r="AK425"/>
    </row>
    <row r="426" spans="1:37" ht="13.5" customHeight="1">
      <c r="E426" s="332"/>
      <c r="AH426" s="332"/>
      <c r="AI426" s="332"/>
      <c r="AJ426" s="332"/>
      <c r="AK426"/>
    </row>
    <row r="427" spans="1:37" ht="13.5" customHeight="1">
      <c r="E427" s="332"/>
      <c r="AH427" s="332"/>
      <c r="AI427" s="332"/>
      <c r="AJ427" s="332"/>
      <c r="AK427"/>
    </row>
    <row r="428" spans="1:37" ht="13.5" customHeight="1">
      <c r="E428" s="332"/>
      <c r="AH428" s="332"/>
      <c r="AI428" s="332"/>
      <c r="AJ428" s="332"/>
      <c r="AK428"/>
    </row>
    <row r="429" spans="1:37" ht="13.5" customHeight="1">
      <c r="E429" s="332"/>
      <c r="AH429" s="332"/>
      <c r="AI429" s="332"/>
      <c r="AJ429" s="332"/>
      <c r="AK429"/>
    </row>
    <row r="430" spans="1:37" ht="13.5" customHeight="1">
      <c r="E430" s="332"/>
      <c r="AH430" s="332"/>
      <c r="AI430" s="332"/>
      <c r="AJ430" s="332"/>
      <c r="AK430"/>
    </row>
    <row r="431" spans="1:37" ht="13.5" customHeight="1">
      <c r="E431" s="332"/>
      <c r="AH431" s="332"/>
      <c r="AI431" s="332"/>
      <c r="AJ431" s="332"/>
      <c r="AK431"/>
    </row>
    <row r="432" spans="1:37" ht="13.5" customHeight="1">
      <c r="E432" s="332"/>
      <c r="AH432" s="332"/>
      <c r="AI432" s="332"/>
      <c r="AJ432" s="332"/>
      <c r="AK432"/>
    </row>
    <row r="433" spans="5:37" ht="13.5" customHeight="1">
      <c r="E433" s="332"/>
      <c r="AH433" s="332"/>
      <c r="AI433" s="332"/>
      <c r="AJ433" s="332"/>
      <c r="AK433"/>
    </row>
    <row r="434" spans="5:37" ht="13.5" customHeight="1">
      <c r="E434" s="332"/>
      <c r="AH434" s="332"/>
      <c r="AI434" s="332"/>
      <c r="AJ434" s="332"/>
      <c r="AK434"/>
    </row>
    <row r="435" spans="5:37" ht="13.5" customHeight="1">
      <c r="E435" s="332"/>
      <c r="AH435" s="332"/>
      <c r="AI435" s="332"/>
      <c r="AJ435" s="332"/>
      <c r="AK435"/>
    </row>
    <row r="436" spans="5:37" ht="13.5" customHeight="1">
      <c r="E436" s="332"/>
      <c r="AH436" s="332"/>
      <c r="AI436" s="332"/>
      <c r="AJ436" s="332"/>
      <c r="AK436"/>
    </row>
    <row r="437" spans="5:37" ht="13.5" customHeight="1">
      <c r="E437" s="332"/>
      <c r="AH437" s="332"/>
      <c r="AI437" s="332"/>
      <c r="AJ437" s="332"/>
      <c r="AK437"/>
    </row>
    <row r="438" spans="5:37" ht="13.5" customHeight="1">
      <c r="E438" s="332"/>
      <c r="AH438" s="332"/>
      <c r="AI438" s="332"/>
      <c r="AJ438" s="332"/>
      <c r="AK438"/>
    </row>
    <row r="439" spans="5:37" ht="13.5" customHeight="1">
      <c r="E439" s="332"/>
      <c r="AH439" s="332"/>
      <c r="AI439" s="332"/>
      <c r="AJ439" s="332"/>
      <c r="AK439"/>
    </row>
    <row r="440" spans="5:37" ht="13.5" customHeight="1">
      <c r="E440" s="332"/>
      <c r="AH440" s="332"/>
      <c r="AI440" s="332"/>
      <c r="AJ440" s="332"/>
      <c r="AK440"/>
    </row>
    <row r="441" spans="5:37" ht="13.5" customHeight="1">
      <c r="E441" s="332"/>
      <c r="AH441" s="332"/>
      <c r="AI441" s="332"/>
      <c r="AJ441" s="332"/>
      <c r="AK441"/>
    </row>
    <row r="442" spans="5:37" ht="13.5" customHeight="1">
      <c r="E442" s="332"/>
      <c r="AH442" s="332"/>
      <c r="AI442" s="332"/>
      <c r="AJ442" s="332"/>
      <c r="AK442"/>
    </row>
    <row r="443" spans="5:37" ht="13.5" customHeight="1">
      <c r="E443" s="332"/>
      <c r="AH443" s="332"/>
      <c r="AI443" s="332"/>
      <c r="AJ443" s="332"/>
      <c r="AK443"/>
    </row>
    <row r="444" spans="5:37" ht="13.5" customHeight="1">
      <c r="E444" s="332"/>
      <c r="AH444" s="332"/>
      <c r="AI444" s="332"/>
      <c r="AJ444" s="332"/>
      <c r="AK444"/>
    </row>
    <row r="445" spans="5:37" ht="13.5" customHeight="1">
      <c r="E445" s="332"/>
      <c r="AH445" s="332"/>
      <c r="AI445" s="332"/>
      <c r="AJ445" s="332"/>
      <c r="AK445"/>
    </row>
    <row r="446" spans="5:37" ht="13.5" customHeight="1">
      <c r="E446" s="332"/>
      <c r="AH446" s="332"/>
      <c r="AI446" s="332"/>
      <c r="AJ446" s="332"/>
      <c r="AK446"/>
    </row>
    <row r="447" spans="5:37" ht="13.5" customHeight="1">
      <c r="E447" s="332"/>
      <c r="AH447" s="332"/>
      <c r="AI447" s="332"/>
      <c r="AJ447" s="332"/>
      <c r="AK447"/>
    </row>
    <row r="448" spans="5:37" ht="13.5" customHeight="1">
      <c r="E448" s="333"/>
      <c r="AH448" s="332"/>
      <c r="AI448" s="332"/>
      <c r="AJ448" s="332"/>
      <c r="AK448"/>
    </row>
    <row r="449" spans="5:37" ht="13.5" customHeight="1">
      <c r="E449" s="333"/>
      <c r="AH449" s="332"/>
      <c r="AI449" s="332"/>
      <c r="AJ449" s="332"/>
      <c r="AK449"/>
    </row>
    <row r="450" spans="5:37" ht="13.5" customHeight="1">
      <c r="E450" s="332"/>
      <c r="AE450" s="334"/>
      <c r="AH450" s="332"/>
      <c r="AI450" s="332"/>
      <c r="AJ450" s="332"/>
      <c r="AK450"/>
    </row>
    <row r="451" spans="5:37" ht="13.5" customHeight="1">
      <c r="E451" s="332"/>
      <c r="AE451" s="334"/>
      <c r="AH451" s="332"/>
      <c r="AI451" s="332"/>
      <c r="AJ451" s="332"/>
      <c r="AK451"/>
    </row>
    <row r="452" spans="5:37" ht="13.5" customHeight="1">
      <c r="E452" s="332"/>
      <c r="AE452" s="334"/>
      <c r="AH452" s="332"/>
      <c r="AI452" s="332"/>
      <c r="AJ452" s="332"/>
      <c r="AK452"/>
    </row>
    <row r="453" spans="5:37" ht="13.5" customHeight="1">
      <c r="E453" s="332"/>
      <c r="AE453" s="334"/>
      <c r="AH453" s="332"/>
      <c r="AI453" s="332"/>
      <c r="AJ453" s="332"/>
      <c r="AK453"/>
    </row>
    <row r="454" spans="5:37" ht="13.5" customHeight="1">
      <c r="E454" s="332"/>
      <c r="AH454" s="332"/>
      <c r="AI454" s="332"/>
      <c r="AJ454" s="332"/>
      <c r="AK454"/>
    </row>
    <row r="455" spans="5:37" ht="13.5" customHeight="1">
      <c r="E455" s="332"/>
      <c r="AH455" s="332"/>
      <c r="AI455" s="332"/>
      <c r="AJ455" s="332"/>
      <c r="AK455"/>
    </row>
    <row r="456" spans="5:37" ht="13.5" customHeight="1">
      <c r="E456" s="332"/>
      <c r="AH456" s="332"/>
      <c r="AI456" s="332"/>
      <c r="AJ456" s="332"/>
      <c r="AK456"/>
    </row>
    <row r="457" spans="5:37" ht="13.5" customHeight="1">
      <c r="E457" s="332"/>
      <c r="AH457" s="332"/>
      <c r="AI457" s="332"/>
      <c r="AJ457" s="332"/>
      <c r="AK457"/>
    </row>
    <row r="458" spans="5:37" ht="13.5" customHeight="1">
      <c r="E458" s="332"/>
      <c r="AH458" s="332"/>
      <c r="AI458" s="332"/>
      <c r="AJ458" s="332"/>
      <c r="AK458"/>
    </row>
    <row r="459" spans="5:37" ht="13.5" customHeight="1">
      <c r="E459" s="332"/>
      <c r="AH459" s="332"/>
      <c r="AI459" s="332"/>
      <c r="AJ459" s="332"/>
      <c r="AK459"/>
    </row>
    <row r="460" spans="5:37" ht="13.5" customHeight="1">
      <c r="E460" s="332"/>
      <c r="AH460" s="332"/>
      <c r="AI460" s="332"/>
      <c r="AJ460" s="332"/>
      <c r="AK460"/>
    </row>
    <row r="461" spans="5:37" ht="13.5" customHeight="1">
      <c r="E461" s="332"/>
      <c r="AH461" s="332"/>
      <c r="AI461" s="332"/>
      <c r="AJ461" s="332"/>
      <c r="AK461"/>
    </row>
    <row r="462" spans="5:37" ht="13.5" customHeight="1">
      <c r="E462" s="332"/>
      <c r="AH462" s="332"/>
      <c r="AI462" s="332"/>
      <c r="AJ462" s="332"/>
      <c r="AK462"/>
    </row>
    <row r="463" spans="5:37" ht="13.5" customHeight="1">
      <c r="E463" s="332"/>
      <c r="AH463" s="332"/>
      <c r="AI463" s="332"/>
      <c r="AJ463" s="332"/>
      <c r="AK463"/>
    </row>
    <row r="464" spans="5:37" ht="13.5" customHeight="1">
      <c r="E464" s="332"/>
      <c r="AH464" s="332"/>
      <c r="AI464" s="332"/>
      <c r="AJ464" s="332"/>
      <c r="AK464"/>
    </row>
    <row r="465" spans="5:37" ht="13.5" customHeight="1">
      <c r="E465" s="332"/>
      <c r="AH465" s="332"/>
      <c r="AI465" s="332"/>
      <c r="AJ465" s="332"/>
      <c r="AK465"/>
    </row>
    <row r="466" spans="5:37" ht="13.5" customHeight="1">
      <c r="E466" s="332"/>
      <c r="AH466" s="332"/>
      <c r="AI466" s="332"/>
      <c r="AJ466" s="332"/>
      <c r="AK466"/>
    </row>
    <row r="467" spans="5:37" ht="13.5" customHeight="1">
      <c r="E467" s="332"/>
      <c r="AH467" s="332"/>
      <c r="AI467" s="332"/>
      <c r="AJ467" s="332"/>
      <c r="AK467"/>
    </row>
    <row r="468" spans="5:37" ht="13.5" customHeight="1">
      <c r="E468" s="332"/>
      <c r="AH468" s="332"/>
      <c r="AI468" s="332"/>
      <c r="AJ468" s="332"/>
      <c r="AK468"/>
    </row>
    <row r="469" spans="5:37" ht="13.5" customHeight="1">
      <c r="E469" s="332"/>
      <c r="AH469" s="332"/>
      <c r="AI469" s="332"/>
      <c r="AJ469" s="332"/>
      <c r="AK469"/>
    </row>
    <row r="470" spans="5:37" ht="13.5" customHeight="1">
      <c r="E470" s="332"/>
      <c r="AH470" s="332"/>
      <c r="AI470" s="332"/>
      <c r="AJ470" s="332"/>
      <c r="AK470"/>
    </row>
    <row r="471" spans="5:37" ht="13.5" customHeight="1">
      <c r="E471" s="332"/>
      <c r="AH471" s="332"/>
      <c r="AI471" s="332"/>
      <c r="AJ471" s="332"/>
      <c r="AK471"/>
    </row>
    <row r="472" spans="5:37" ht="13.5" customHeight="1">
      <c r="E472" s="332"/>
      <c r="AH472" s="332"/>
      <c r="AI472" s="332"/>
      <c r="AJ472" s="332"/>
      <c r="AK472"/>
    </row>
    <row r="473" spans="5:37" ht="13.5" customHeight="1">
      <c r="E473" s="332"/>
      <c r="AH473" s="332"/>
      <c r="AI473" s="332"/>
      <c r="AJ473" s="332"/>
      <c r="AK473"/>
    </row>
    <row r="474" spans="5:37" ht="13.5" customHeight="1">
      <c r="E474" s="332"/>
      <c r="AH474" s="332"/>
      <c r="AI474" s="332"/>
      <c r="AJ474" s="332"/>
      <c r="AK474"/>
    </row>
    <row r="475" spans="5:37" ht="13.5" customHeight="1">
      <c r="E475" s="332"/>
      <c r="AH475" s="332"/>
      <c r="AI475" s="332"/>
      <c r="AJ475" s="332"/>
      <c r="AK475"/>
    </row>
    <row r="476" spans="5:37" ht="13.5" customHeight="1">
      <c r="E476" s="332"/>
      <c r="AH476" s="332"/>
      <c r="AI476" s="332"/>
      <c r="AJ476" s="332"/>
      <c r="AK476"/>
    </row>
    <row r="477" spans="5:37" ht="13.5" customHeight="1">
      <c r="E477" s="332"/>
      <c r="AH477" s="332"/>
      <c r="AI477" s="332"/>
      <c r="AJ477" s="332"/>
      <c r="AK477"/>
    </row>
    <row r="478" spans="5:37" ht="13.5" customHeight="1">
      <c r="E478" s="332"/>
      <c r="AH478" s="332"/>
      <c r="AI478" s="332"/>
      <c r="AJ478" s="332"/>
      <c r="AK478"/>
    </row>
    <row r="479" spans="5:37" ht="13.5" customHeight="1">
      <c r="E479" s="332"/>
      <c r="AH479" s="332"/>
      <c r="AI479" s="332"/>
      <c r="AJ479" s="332"/>
      <c r="AK479"/>
    </row>
    <row r="480" spans="5:37" ht="13.5" customHeight="1">
      <c r="E480" s="332"/>
      <c r="AH480" s="332"/>
      <c r="AI480" s="332"/>
      <c r="AJ480" s="332"/>
      <c r="AK480"/>
    </row>
    <row r="481" spans="5:37" ht="13.5" customHeight="1">
      <c r="E481" s="332"/>
      <c r="AH481" s="332"/>
      <c r="AI481" s="332"/>
      <c r="AJ481" s="332"/>
      <c r="AK481"/>
    </row>
    <row r="482" spans="5:37" ht="13.5" customHeight="1">
      <c r="E482" s="332"/>
      <c r="AH482" s="332"/>
      <c r="AI482" s="332"/>
      <c r="AJ482" s="332"/>
      <c r="AK482"/>
    </row>
    <row r="483" spans="5:37" ht="13.5" customHeight="1">
      <c r="E483" s="332"/>
      <c r="AH483" s="332"/>
      <c r="AI483" s="332"/>
      <c r="AJ483" s="332"/>
      <c r="AK483"/>
    </row>
    <row r="484" spans="5:37" ht="13.5" customHeight="1">
      <c r="E484" s="332"/>
      <c r="AH484" s="332"/>
      <c r="AI484" s="332"/>
      <c r="AJ484" s="332"/>
      <c r="AK484"/>
    </row>
    <row r="485" spans="5:37" ht="13.5" customHeight="1">
      <c r="E485" s="332"/>
      <c r="AH485" s="332"/>
      <c r="AI485" s="332"/>
      <c r="AJ485" s="332"/>
      <c r="AK485"/>
    </row>
    <row r="486" spans="5:37" ht="13.5" customHeight="1">
      <c r="E486" s="332"/>
      <c r="AH486" s="332"/>
      <c r="AI486" s="332"/>
      <c r="AJ486" s="332"/>
      <c r="AK486"/>
    </row>
    <row r="487" spans="5:37" ht="13.5" customHeight="1">
      <c r="E487" s="332"/>
      <c r="AH487" s="332"/>
      <c r="AI487" s="332"/>
      <c r="AJ487" s="332"/>
      <c r="AK487"/>
    </row>
    <row r="488" spans="5:37" ht="13.5" customHeight="1">
      <c r="E488" s="332"/>
      <c r="AH488" s="332"/>
      <c r="AI488" s="332"/>
      <c r="AJ488" s="332"/>
      <c r="AK488"/>
    </row>
    <row r="489" spans="5:37" ht="13.5" customHeight="1">
      <c r="E489" s="332"/>
      <c r="AH489" s="332"/>
      <c r="AI489" s="332"/>
      <c r="AJ489" s="332"/>
      <c r="AK489"/>
    </row>
    <row r="490" spans="5:37" ht="13.5" customHeight="1">
      <c r="E490" s="332"/>
      <c r="AH490" s="332"/>
      <c r="AI490" s="332"/>
      <c r="AJ490" s="332"/>
      <c r="AK490"/>
    </row>
    <row r="491" spans="5:37" ht="13.5" customHeight="1">
      <c r="E491" s="332"/>
      <c r="AH491" s="332"/>
      <c r="AI491" s="332"/>
      <c r="AJ491" s="332"/>
      <c r="AK491"/>
    </row>
    <row r="492" spans="5:37" ht="13.5" customHeight="1">
      <c r="E492" s="332"/>
      <c r="AH492" s="332"/>
      <c r="AI492" s="332"/>
      <c r="AJ492" s="332"/>
      <c r="AK492"/>
    </row>
    <row r="493" spans="5:37" ht="13.5" customHeight="1">
      <c r="E493" s="332"/>
      <c r="AH493" s="332"/>
      <c r="AI493" s="332"/>
      <c r="AJ493" s="332"/>
      <c r="AK493"/>
    </row>
    <row r="494" spans="5:37" ht="13.5" customHeight="1">
      <c r="E494" s="332"/>
      <c r="AH494" s="332"/>
      <c r="AI494" s="332"/>
      <c r="AJ494" s="332"/>
      <c r="AK494"/>
    </row>
    <row r="495" spans="5:37" ht="13.5" customHeight="1">
      <c r="E495" s="332"/>
      <c r="AH495" s="332"/>
      <c r="AI495" s="332"/>
      <c r="AJ495" s="332"/>
      <c r="AK495"/>
    </row>
    <row r="496" spans="5:37" ht="13.5" customHeight="1">
      <c r="E496" s="332"/>
      <c r="AH496" s="332"/>
      <c r="AI496" s="332"/>
      <c r="AJ496" s="332"/>
      <c r="AK496"/>
    </row>
    <row r="497" spans="5:37" ht="13.5" customHeight="1">
      <c r="E497" s="332"/>
      <c r="AH497" s="332"/>
      <c r="AI497" s="332"/>
      <c r="AJ497" s="332"/>
      <c r="AK497"/>
    </row>
    <row r="498" spans="5:37" ht="13.5" customHeight="1">
      <c r="E498" s="332"/>
      <c r="AH498" s="332"/>
      <c r="AI498" s="332"/>
      <c r="AJ498" s="332"/>
      <c r="AK498"/>
    </row>
    <row r="499" spans="5:37" ht="13.5" customHeight="1">
      <c r="E499" s="332"/>
      <c r="AH499" s="332"/>
      <c r="AI499" s="332"/>
      <c r="AJ499" s="332"/>
      <c r="AK499"/>
    </row>
    <row r="500" spans="5:37" ht="13.5" customHeight="1">
      <c r="E500" s="332"/>
      <c r="AH500" s="332"/>
      <c r="AI500" s="332"/>
      <c r="AJ500" s="332"/>
      <c r="AK500"/>
    </row>
    <row r="501" spans="5:37" ht="13.5" customHeight="1">
      <c r="E501" s="332"/>
      <c r="AH501" s="332"/>
      <c r="AI501" s="332"/>
      <c r="AJ501" s="332"/>
      <c r="AK501"/>
    </row>
    <row r="502" spans="5:37" ht="13.5" customHeight="1">
      <c r="E502" s="332"/>
      <c r="AH502" s="332"/>
      <c r="AI502" s="332"/>
      <c r="AJ502" s="332"/>
      <c r="AK502"/>
    </row>
    <row r="503" spans="5:37" ht="13.5" customHeight="1">
      <c r="E503" s="332"/>
      <c r="AH503" s="332"/>
      <c r="AI503" s="332"/>
      <c r="AJ503" s="332"/>
      <c r="AK503"/>
    </row>
    <row r="504" spans="5:37" ht="13.5" customHeight="1">
      <c r="E504" s="332"/>
      <c r="AH504" s="332"/>
      <c r="AI504" s="332"/>
      <c r="AJ504" s="332"/>
      <c r="AK504"/>
    </row>
    <row r="505" spans="5:37" ht="13.5" customHeight="1">
      <c r="E505" s="332"/>
      <c r="AH505" s="332"/>
      <c r="AI505" s="332"/>
      <c r="AJ505" s="332"/>
      <c r="AK505"/>
    </row>
    <row r="506" spans="5:37" ht="13.5" customHeight="1">
      <c r="E506" s="332"/>
      <c r="AH506" s="332"/>
      <c r="AI506" s="332"/>
      <c r="AJ506" s="332"/>
      <c r="AK506"/>
    </row>
    <row r="507" spans="5:37" ht="13.5" customHeight="1">
      <c r="E507" s="332"/>
      <c r="AH507" s="332"/>
      <c r="AI507" s="332"/>
      <c r="AJ507" s="332"/>
      <c r="AK507"/>
    </row>
    <row r="508" spans="5:37" ht="13.5" customHeight="1">
      <c r="E508" s="332"/>
      <c r="AH508" s="332"/>
      <c r="AI508" s="332"/>
      <c r="AJ508" s="332"/>
      <c r="AK508"/>
    </row>
    <row r="509" spans="5:37" ht="13.5" customHeight="1">
      <c r="E509" s="332"/>
      <c r="AH509" s="332"/>
      <c r="AI509" s="332"/>
      <c r="AJ509" s="332"/>
      <c r="AK509"/>
    </row>
    <row r="510" spans="5:37" ht="13.5" customHeight="1">
      <c r="E510" s="332"/>
      <c r="AH510" s="332"/>
      <c r="AI510" s="332"/>
      <c r="AJ510" s="332"/>
      <c r="AK510"/>
    </row>
    <row r="511" spans="5:37" ht="13.5" customHeight="1">
      <c r="E511" s="332"/>
      <c r="AH511" s="332"/>
      <c r="AI511" s="332"/>
      <c r="AJ511" s="332"/>
      <c r="AK511"/>
    </row>
    <row r="512" spans="5:37" ht="13.5" customHeight="1">
      <c r="E512" s="332"/>
      <c r="AH512" s="332"/>
      <c r="AI512" s="332"/>
      <c r="AJ512" s="332"/>
      <c r="AK512"/>
    </row>
    <row r="513" spans="5:37" ht="13.5" customHeight="1">
      <c r="E513" s="332"/>
      <c r="AH513" s="332"/>
      <c r="AI513" s="332"/>
      <c r="AJ513" s="332"/>
      <c r="AK513"/>
    </row>
    <row r="514" spans="5:37" ht="13.5" customHeight="1">
      <c r="E514" s="332"/>
      <c r="AH514" s="332"/>
      <c r="AI514" s="332"/>
      <c r="AJ514" s="332"/>
      <c r="AK514"/>
    </row>
    <row r="515" spans="5:37" ht="13.5" customHeight="1">
      <c r="E515" s="332"/>
      <c r="AH515" s="332"/>
      <c r="AI515" s="332"/>
      <c r="AJ515" s="332"/>
      <c r="AK515"/>
    </row>
    <row r="516" spans="5:37" ht="13.5" customHeight="1">
      <c r="E516" s="332"/>
      <c r="AH516" s="332"/>
      <c r="AI516" s="332"/>
      <c r="AJ516" s="332"/>
      <c r="AK516"/>
    </row>
    <row r="517" spans="5:37" ht="13.5" customHeight="1">
      <c r="E517" s="332"/>
      <c r="AH517" s="332"/>
      <c r="AI517" s="332"/>
      <c r="AJ517" s="332"/>
      <c r="AK517"/>
    </row>
    <row r="518" spans="5:37" ht="13.5" customHeight="1">
      <c r="E518" s="332"/>
      <c r="AH518" s="332"/>
      <c r="AI518" s="332"/>
      <c r="AJ518" s="332"/>
      <c r="AK518"/>
    </row>
    <row r="519" spans="5:37" ht="13.5" customHeight="1">
      <c r="E519" s="332"/>
      <c r="AH519" s="332"/>
      <c r="AI519" s="332"/>
      <c r="AJ519" s="332"/>
      <c r="AK519"/>
    </row>
    <row r="520" spans="5:37" ht="13.5" customHeight="1">
      <c r="E520" s="332"/>
      <c r="AH520" s="332"/>
      <c r="AI520" s="332"/>
      <c r="AJ520" s="332"/>
      <c r="AK520"/>
    </row>
    <row r="521" spans="5:37" ht="13.5" customHeight="1">
      <c r="E521" s="332"/>
      <c r="AH521" s="332"/>
      <c r="AI521" s="332"/>
      <c r="AJ521" s="332"/>
      <c r="AK521"/>
    </row>
    <row r="522" spans="5:37" ht="13.5" customHeight="1">
      <c r="E522" s="332"/>
      <c r="AH522" s="332"/>
      <c r="AI522" s="332"/>
      <c r="AJ522" s="332"/>
      <c r="AK522"/>
    </row>
    <row r="523" spans="5:37" ht="13.5" customHeight="1">
      <c r="E523" s="332"/>
      <c r="AH523" s="332"/>
      <c r="AI523" s="332"/>
      <c r="AJ523" s="332"/>
      <c r="AK523"/>
    </row>
    <row r="524" spans="5:37" ht="13.5" customHeight="1">
      <c r="E524" s="332"/>
      <c r="AH524" s="332"/>
      <c r="AI524" s="332"/>
      <c r="AJ524" s="332"/>
      <c r="AK524"/>
    </row>
    <row r="525" spans="5:37" ht="13.5" customHeight="1">
      <c r="E525" s="332"/>
      <c r="AH525" s="332"/>
      <c r="AI525" s="332"/>
      <c r="AJ525" s="332"/>
      <c r="AK525"/>
    </row>
    <row r="526" spans="5:37" ht="13.5" customHeight="1">
      <c r="E526" s="332"/>
      <c r="AH526" s="332"/>
      <c r="AI526" s="332"/>
      <c r="AJ526" s="332"/>
      <c r="AK526"/>
    </row>
    <row r="527" spans="5:37" ht="13.5" customHeight="1">
      <c r="E527" s="332"/>
      <c r="AH527" s="332"/>
      <c r="AI527" s="332"/>
      <c r="AJ527" s="332"/>
      <c r="AK527"/>
    </row>
    <row r="528" spans="5:37" ht="13.5" customHeight="1">
      <c r="E528" s="332"/>
      <c r="AH528" s="332"/>
      <c r="AI528" s="332"/>
      <c r="AJ528" s="332"/>
      <c r="AK528"/>
    </row>
    <row r="529" spans="5:37" ht="13.5" customHeight="1">
      <c r="E529" s="332"/>
      <c r="AH529" s="332"/>
      <c r="AI529" s="332"/>
      <c r="AJ529" s="332"/>
      <c r="AK529"/>
    </row>
    <row r="530" spans="5:37" ht="13.5" customHeight="1">
      <c r="E530" s="332"/>
      <c r="AH530" s="332"/>
      <c r="AI530" s="332"/>
      <c r="AJ530" s="332"/>
      <c r="AK530"/>
    </row>
    <row r="531" spans="5:37" ht="13.5" customHeight="1">
      <c r="E531" s="332"/>
      <c r="AH531" s="332"/>
      <c r="AI531" s="332"/>
      <c r="AJ531" s="332"/>
      <c r="AK531"/>
    </row>
    <row r="532" spans="5:37" ht="13.5" customHeight="1">
      <c r="E532" s="332"/>
      <c r="AH532" s="332"/>
      <c r="AI532" s="332"/>
      <c r="AJ532" s="332"/>
      <c r="AK532"/>
    </row>
    <row r="533" spans="5:37" ht="13.5" customHeight="1">
      <c r="E533" s="332"/>
      <c r="AH533" s="332"/>
      <c r="AI533" s="332"/>
      <c r="AJ533" s="332"/>
      <c r="AK533"/>
    </row>
    <row r="534" spans="5:37" ht="13.5" customHeight="1">
      <c r="E534" s="332"/>
      <c r="AH534" s="332"/>
      <c r="AI534" s="332"/>
      <c r="AJ534" s="332"/>
      <c r="AK534"/>
    </row>
    <row r="535" spans="5:37" ht="13.5" customHeight="1">
      <c r="E535" s="332"/>
      <c r="AH535" s="332"/>
      <c r="AI535" s="332"/>
      <c r="AJ535" s="332"/>
      <c r="AK535"/>
    </row>
    <row r="536" spans="5:37" ht="13.5" customHeight="1">
      <c r="E536" s="332"/>
      <c r="AH536" s="332"/>
      <c r="AI536" s="332"/>
      <c r="AJ536" s="332"/>
      <c r="AK536"/>
    </row>
    <row r="537" spans="5:37" ht="13.5" customHeight="1">
      <c r="E537" s="332"/>
      <c r="AH537" s="332"/>
      <c r="AI537" s="332"/>
      <c r="AJ537" s="332"/>
      <c r="AK537"/>
    </row>
    <row r="538" spans="5:37" ht="13.5" customHeight="1">
      <c r="E538" s="332"/>
      <c r="AH538" s="332"/>
      <c r="AI538" s="332"/>
      <c r="AJ538" s="332"/>
      <c r="AK538"/>
    </row>
    <row r="539" spans="5:37" ht="13.5" customHeight="1">
      <c r="E539" s="332"/>
      <c r="AH539" s="332"/>
      <c r="AI539" s="332"/>
      <c r="AJ539" s="332"/>
      <c r="AK539"/>
    </row>
    <row r="540" spans="5:37" ht="13.5" customHeight="1">
      <c r="E540" s="332"/>
      <c r="AH540" s="332"/>
      <c r="AI540" s="332"/>
      <c r="AJ540" s="332"/>
      <c r="AK540"/>
    </row>
    <row r="541" spans="5:37" ht="13.5" customHeight="1">
      <c r="E541" s="332"/>
      <c r="AH541" s="332"/>
      <c r="AI541" s="332"/>
      <c r="AJ541" s="332"/>
      <c r="AK541"/>
    </row>
    <row r="542" spans="5:37" ht="13.5" customHeight="1">
      <c r="E542" s="332"/>
      <c r="AH542" s="332"/>
      <c r="AI542" s="332"/>
      <c r="AJ542" s="332"/>
      <c r="AK542"/>
    </row>
    <row r="543" spans="5:37" ht="13.5" customHeight="1">
      <c r="E543" s="332"/>
      <c r="AH543" s="332"/>
      <c r="AI543" s="332"/>
      <c r="AJ543" s="332"/>
      <c r="AK543"/>
    </row>
    <row r="544" spans="5:37" ht="13.5" customHeight="1">
      <c r="E544" s="332"/>
      <c r="AH544" s="332"/>
      <c r="AI544" s="332"/>
      <c r="AJ544" s="332"/>
      <c r="AK544"/>
    </row>
    <row r="545" spans="5:37" ht="13.5" customHeight="1">
      <c r="E545" s="332"/>
      <c r="AH545" s="332"/>
      <c r="AI545" s="332"/>
      <c r="AJ545" s="332"/>
      <c r="AK545"/>
    </row>
    <row r="546" spans="5:37" ht="13.5" customHeight="1">
      <c r="E546" s="332"/>
      <c r="AH546" s="332"/>
      <c r="AI546" s="332"/>
      <c r="AJ546" s="332"/>
      <c r="AK546"/>
    </row>
    <row r="547" spans="5:37" ht="13.5" customHeight="1">
      <c r="E547" s="332"/>
      <c r="AH547" s="332"/>
      <c r="AI547" s="332"/>
      <c r="AJ547" s="332"/>
      <c r="AK547"/>
    </row>
    <row r="548" spans="5:37" ht="13.5" customHeight="1">
      <c r="E548" s="332"/>
      <c r="AH548" s="332"/>
      <c r="AI548" s="332"/>
      <c r="AJ548" s="332"/>
      <c r="AK548"/>
    </row>
    <row r="549" spans="5:37" ht="13.5" customHeight="1">
      <c r="E549" s="332"/>
      <c r="AH549" s="332"/>
      <c r="AI549" s="332"/>
      <c r="AJ549" s="332"/>
      <c r="AK549"/>
    </row>
    <row r="550" spans="5:37" ht="13.5" customHeight="1">
      <c r="E550" s="332"/>
      <c r="AH550" s="332"/>
      <c r="AI550" s="332"/>
      <c r="AJ550" s="332"/>
      <c r="AK550"/>
    </row>
    <row r="551" spans="5:37" ht="13.5" customHeight="1">
      <c r="E551" s="332"/>
      <c r="AH551" s="332"/>
      <c r="AI551" s="332"/>
      <c r="AJ551" s="332"/>
      <c r="AK551"/>
    </row>
    <row r="552" spans="5:37" ht="13.5" customHeight="1">
      <c r="E552" s="332"/>
      <c r="AH552" s="332"/>
      <c r="AI552" s="332"/>
      <c r="AJ552" s="332"/>
      <c r="AK552"/>
    </row>
    <row r="553" spans="5:37" ht="13.5" customHeight="1">
      <c r="E553" s="332"/>
      <c r="AH553" s="332"/>
      <c r="AI553" s="332"/>
      <c r="AJ553" s="332"/>
      <c r="AK553"/>
    </row>
    <row r="554" spans="5:37" ht="13.5" customHeight="1">
      <c r="E554" s="332"/>
      <c r="AH554" s="332"/>
      <c r="AI554" s="332"/>
      <c r="AJ554" s="332"/>
      <c r="AK554"/>
    </row>
    <row r="555" spans="5:37" ht="13.5" customHeight="1">
      <c r="E555" s="332"/>
      <c r="AH555" s="332"/>
      <c r="AI555" s="332"/>
      <c r="AJ555" s="332"/>
      <c r="AK555"/>
    </row>
    <row r="556" spans="5:37" ht="13.5" customHeight="1">
      <c r="E556" s="332"/>
      <c r="AH556" s="332"/>
      <c r="AI556" s="332"/>
      <c r="AJ556" s="332"/>
      <c r="AK556"/>
    </row>
    <row r="557" spans="5:37" ht="13.5" customHeight="1">
      <c r="E557" s="332"/>
      <c r="AH557" s="332"/>
      <c r="AI557" s="332"/>
      <c r="AJ557" s="332"/>
      <c r="AK557"/>
    </row>
    <row r="558" spans="5:37" ht="13.5" customHeight="1">
      <c r="E558" s="332"/>
      <c r="AH558" s="332"/>
      <c r="AI558" s="332"/>
      <c r="AJ558" s="332"/>
      <c r="AK558"/>
    </row>
    <row r="559" spans="5:37" ht="13.5" customHeight="1">
      <c r="E559" s="332"/>
      <c r="AH559" s="332"/>
      <c r="AI559" s="332"/>
      <c r="AJ559" s="332"/>
      <c r="AK559"/>
    </row>
    <row r="560" spans="5:37" ht="13.5" customHeight="1">
      <c r="E560" s="332"/>
      <c r="AH560" s="332"/>
      <c r="AI560" s="332"/>
      <c r="AJ560" s="332"/>
      <c r="AK560"/>
    </row>
    <row r="561" spans="5:37" ht="13.5" customHeight="1">
      <c r="E561" s="332"/>
      <c r="AH561" s="332"/>
      <c r="AI561" s="332"/>
      <c r="AJ561" s="332"/>
      <c r="AK561"/>
    </row>
    <row r="562" spans="5:37" ht="13.5" customHeight="1">
      <c r="E562" s="332"/>
      <c r="AH562" s="332"/>
      <c r="AI562" s="332"/>
      <c r="AJ562" s="332"/>
      <c r="AK562"/>
    </row>
    <row r="563" spans="5:37" ht="13.5" customHeight="1">
      <c r="E563" s="332"/>
      <c r="AH563" s="332"/>
      <c r="AI563" s="332"/>
      <c r="AJ563" s="332"/>
      <c r="AK563"/>
    </row>
    <row r="564" spans="5:37" ht="13.5" customHeight="1">
      <c r="E564" s="332"/>
      <c r="AH564" s="332"/>
      <c r="AI564" s="332"/>
      <c r="AJ564" s="332"/>
      <c r="AK564"/>
    </row>
    <row r="565" spans="5:37" ht="13.5" customHeight="1">
      <c r="E565" s="332"/>
      <c r="AH565" s="332"/>
      <c r="AI565" s="332"/>
      <c r="AJ565" s="332"/>
      <c r="AK565"/>
    </row>
    <row r="566" spans="5:37" ht="13.5" customHeight="1">
      <c r="E566" s="332"/>
      <c r="AH566" s="332"/>
      <c r="AI566" s="332"/>
      <c r="AJ566" s="332"/>
      <c r="AK566"/>
    </row>
    <row r="567" spans="5:37" ht="13.5" customHeight="1">
      <c r="E567" s="332"/>
      <c r="AH567" s="332"/>
      <c r="AI567" s="332"/>
      <c r="AJ567" s="332"/>
      <c r="AK567"/>
    </row>
    <row r="568" spans="5:37" ht="13.5" customHeight="1">
      <c r="E568" s="332"/>
      <c r="AH568" s="332"/>
      <c r="AI568" s="332"/>
      <c r="AJ568" s="332"/>
      <c r="AK568"/>
    </row>
    <row r="569" spans="5:37" ht="13.5" customHeight="1">
      <c r="E569" s="332"/>
      <c r="AH569" s="332"/>
      <c r="AI569" s="332"/>
      <c r="AJ569" s="332"/>
      <c r="AK569"/>
    </row>
    <row r="570" spans="5:37" ht="13.5" customHeight="1">
      <c r="E570" s="332"/>
      <c r="AH570" s="332"/>
      <c r="AI570" s="332"/>
      <c r="AJ570" s="332"/>
      <c r="AK570"/>
    </row>
    <row r="571" spans="5:37" ht="13.5" customHeight="1">
      <c r="E571" s="332"/>
      <c r="AH571" s="332"/>
      <c r="AI571" s="332"/>
      <c r="AJ571" s="332"/>
      <c r="AK571"/>
    </row>
    <row r="572" spans="5:37" ht="13.5" customHeight="1">
      <c r="E572" s="332"/>
      <c r="AH572" s="332"/>
      <c r="AI572" s="332"/>
      <c r="AJ572" s="332"/>
      <c r="AK572"/>
    </row>
    <row r="573" spans="5:37" ht="13.5" customHeight="1">
      <c r="E573" s="332"/>
      <c r="AH573" s="332"/>
      <c r="AI573" s="332"/>
      <c r="AJ573" s="332"/>
      <c r="AK573"/>
    </row>
    <row r="574" spans="5:37" ht="13.5" customHeight="1">
      <c r="E574" s="332"/>
      <c r="AH574" s="332"/>
      <c r="AI574" s="332"/>
      <c r="AJ574" s="332"/>
      <c r="AK574"/>
    </row>
    <row r="575" spans="5:37" ht="13.5" customHeight="1">
      <c r="E575" s="332"/>
      <c r="AH575" s="332"/>
      <c r="AI575" s="332"/>
      <c r="AJ575" s="332"/>
      <c r="AK575"/>
    </row>
    <row r="576" spans="5:37" ht="13.5" customHeight="1">
      <c r="E576" s="332"/>
      <c r="AH576" s="332"/>
      <c r="AI576" s="332"/>
      <c r="AJ576" s="332"/>
      <c r="AK576"/>
    </row>
    <row r="577" spans="5:37" ht="13.5" customHeight="1">
      <c r="E577" s="332"/>
      <c r="AH577" s="332"/>
      <c r="AI577" s="332"/>
      <c r="AJ577" s="332"/>
      <c r="AK577"/>
    </row>
    <row r="578" spans="5:37" ht="13.5" customHeight="1">
      <c r="E578" s="332"/>
      <c r="AH578" s="332"/>
      <c r="AI578" s="332"/>
      <c r="AJ578" s="332"/>
      <c r="AK578"/>
    </row>
    <row r="579" spans="5:37" ht="13.5" customHeight="1">
      <c r="E579" s="332"/>
      <c r="AH579" s="332"/>
      <c r="AI579" s="332"/>
      <c r="AJ579" s="332"/>
      <c r="AK579"/>
    </row>
    <row r="580" spans="5:37" ht="13.5" customHeight="1">
      <c r="E580" s="332"/>
      <c r="AH580" s="332"/>
      <c r="AI580" s="332"/>
      <c r="AJ580" s="332"/>
      <c r="AK580"/>
    </row>
    <row r="581" spans="5:37" ht="13.5" customHeight="1">
      <c r="E581" s="332"/>
      <c r="AH581" s="332"/>
      <c r="AI581" s="332"/>
      <c r="AJ581" s="332"/>
      <c r="AK581"/>
    </row>
    <row r="582" spans="5:37" ht="13.5" customHeight="1">
      <c r="E582" s="332"/>
      <c r="AH582" s="332"/>
      <c r="AI582" s="332"/>
      <c r="AJ582" s="332"/>
      <c r="AK582"/>
    </row>
    <row r="583" spans="5:37" ht="13.5" customHeight="1">
      <c r="E583" s="332"/>
      <c r="AH583" s="332"/>
      <c r="AI583" s="332"/>
      <c r="AJ583" s="332"/>
      <c r="AK583"/>
    </row>
    <row r="584" spans="5:37" ht="13.5" customHeight="1">
      <c r="E584" s="332"/>
      <c r="AH584" s="332"/>
      <c r="AI584" s="332"/>
      <c r="AJ584" s="332"/>
      <c r="AK584"/>
    </row>
    <row r="585" spans="5:37" ht="13.5" customHeight="1">
      <c r="E585" s="332"/>
      <c r="AH585" s="332"/>
      <c r="AI585" s="332"/>
      <c r="AJ585" s="332"/>
      <c r="AK585"/>
    </row>
    <row r="586" spans="5:37" ht="13.5" customHeight="1">
      <c r="E586" s="332"/>
      <c r="AH586" s="332"/>
      <c r="AI586" s="332"/>
      <c r="AJ586" s="332"/>
      <c r="AK586"/>
    </row>
    <row r="587" spans="5:37" ht="13.5" customHeight="1">
      <c r="E587" s="332"/>
      <c r="AH587" s="332"/>
      <c r="AI587" s="332"/>
      <c r="AJ587" s="332"/>
      <c r="AK587"/>
    </row>
    <row r="588" spans="5:37" ht="13.5" customHeight="1">
      <c r="E588" s="332"/>
      <c r="AH588" s="332"/>
      <c r="AI588" s="332"/>
      <c r="AJ588" s="332"/>
      <c r="AK588"/>
    </row>
    <row r="589" spans="5:37" ht="13.5" customHeight="1">
      <c r="E589" s="332"/>
      <c r="AH589" s="332"/>
      <c r="AI589" s="332"/>
      <c r="AJ589" s="332"/>
      <c r="AK589"/>
    </row>
    <row r="590" spans="5:37" ht="13.5" customHeight="1">
      <c r="E590" s="332"/>
      <c r="AH590" s="332"/>
      <c r="AI590" s="332"/>
      <c r="AJ590" s="332"/>
      <c r="AK590"/>
    </row>
    <row r="591" spans="5:37" ht="13.5" customHeight="1">
      <c r="E591" s="332"/>
      <c r="AH591" s="332"/>
      <c r="AI591" s="332"/>
      <c r="AJ591" s="332"/>
      <c r="AK591"/>
    </row>
    <row r="592" spans="5:37" ht="13.5" customHeight="1">
      <c r="E592" s="332"/>
      <c r="AH592" s="332"/>
      <c r="AI592" s="332"/>
      <c r="AJ592" s="332"/>
      <c r="AK592"/>
    </row>
    <row r="593" spans="5:37" ht="13.5" customHeight="1">
      <c r="E593" s="332"/>
      <c r="AH593" s="332"/>
      <c r="AI593" s="332"/>
      <c r="AJ593" s="332"/>
      <c r="AK593"/>
    </row>
    <row r="594" spans="5:37" ht="13.5" customHeight="1">
      <c r="E594" s="332"/>
      <c r="AH594" s="332"/>
      <c r="AI594" s="332"/>
      <c r="AJ594" s="332"/>
      <c r="AK594"/>
    </row>
    <row r="595" spans="5:37" ht="13.5" customHeight="1">
      <c r="E595" s="332"/>
      <c r="AH595" s="332"/>
      <c r="AI595" s="332"/>
      <c r="AJ595" s="332"/>
      <c r="AK595"/>
    </row>
    <row r="596" spans="5:37" ht="13.5" customHeight="1">
      <c r="E596" s="332"/>
      <c r="AH596" s="332"/>
      <c r="AI596" s="332"/>
      <c r="AJ596" s="332"/>
      <c r="AK596"/>
    </row>
    <row r="597" spans="5:37" ht="13.5" customHeight="1">
      <c r="E597" s="332"/>
      <c r="AH597" s="332"/>
      <c r="AI597" s="332"/>
      <c r="AJ597" s="332"/>
      <c r="AK597"/>
    </row>
    <row r="598" spans="5:37" ht="13.5" customHeight="1">
      <c r="E598" s="332"/>
      <c r="AH598" s="332"/>
      <c r="AI598" s="332"/>
      <c r="AJ598" s="332"/>
      <c r="AK598"/>
    </row>
    <row r="599" spans="5:37" ht="13.5" customHeight="1">
      <c r="E599" s="332"/>
      <c r="AH599" s="332"/>
      <c r="AI599" s="332"/>
      <c r="AJ599" s="332"/>
      <c r="AK599"/>
    </row>
    <row r="600" spans="5:37" ht="13.5" customHeight="1">
      <c r="E600" s="332"/>
      <c r="AH600" s="332"/>
      <c r="AI600" s="332"/>
      <c r="AJ600" s="332"/>
      <c r="AK600"/>
    </row>
    <row r="601" spans="5:37" ht="13.5" customHeight="1">
      <c r="E601" s="332"/>
      <c r="AH601" s="332"/>
      <c r="AI601" s="332"/>
      <c r="AJ601" s="332"/>
      <c r="AK601"/>
    </row>
    <row r="602" spans="5:37" ht="13.5" customHeight="1">
      <c r="E602" s="332"/>
      <c r="AH602" s="332"/>
      <c r="AI602" s="332"/>
      <c r="AJ602" s="332"/>
      <c r="AK602"/>
    </row>
    <row r="603" spans="5:37" ht="13.5" customHeight="1">
      <c r="E603" s="332"/>
      <c r="AH603" s="332"/>
      <c r="AI603" s="332"/>
      <c r="AJ603" s="332"/>
      <c r="AK603"/>
    </row>
    <row r="604" spans="5:37" ht="13.5" customHeight="1">
      <c r="E604" s="332"/>
      <c r="AH604" s="332"/>
      <c r="AI604" s="332"/>
      <c r="AJ604" s="332"/>
      <c r="AK604"/>
    </row>
    <row r="605" spans="5:37" ht="13.5" customHeight="1">
      <c r="E605" s="332"/>
      <c r="AH605" s="332"/>
      <c r="AI605" s="332"/>
      <c r="AJ605" s="332"/>
      <c r="AK605"/>
    </row>
    <row r="606" spans="5:37" ht="13.5" customHeight="1">
      <c r="E606" s="332"/>
      <c r="AH606" s="332"/>
      <c r="AI606" s="332"/>
      <c r="AJ606" s="332"/>
      <c r="AK606"/>
    </row>
    <row r="607" spans="5:37" ht="13.5" customHeight="1">
      <c r="E607" s="332"/>
      <c r="AH607" s="332"/>
      <c r="AI607" s="332"/>
      <c r="AJ607" s="332"/>
      <c r="AK607"/>
    </row>
    <row r="608" spans="5:37" ht="13.5" customHeight="1">
      <c r="E608" s="332"/>
      <c r="AH608" s="332"/>
      <c r="AI608" s="332"/>
      <c r="AJ608" s="332"/>
      <c r="AK608"/>
    </row>
    <row r="609" spans="5:37" ht="13.5" customHeight="1">
      <c r="E609" s="332"/>
      <c r="AH609" s="332"/>
      <c r="AI609" s="332"/>
      <c r="AJ609" s="332"/>
      <c r="AK609"/>
    </row>
    <row r="610" spans="5:37" ht="13.5" customHeight="1">
      <c r="E610" s="332"/>
      <c r="AH610" s="332"/>
      <c r="AI610" s="332"/>
      <c r="AJ610" s="332"/>
      <c r="AK610"/>
    </row>
    <row r="611" spans="5:37" ht="13.5" customHeight="1">
      <c r="E611" s="332"/>
      <c r="AH611" s="332"/>
      <c r="AI611" s="332"/>
      <c r="AJ611" s="332"/>
      <c r="AK611"/>
    </row>
    <row r="612" spans="5:37" ht="13.5" customHeight="1">
      <c r="E612" s="332"/>
      <c r="AH612" s="332"/>
      <c r="AI612" s="332"/>
      <c r="AJ612" s="332"/>
      <c r="AK612"/>
    </row>
    <row r="613" spans="5:37" ht="13.5" customHeight="1">
      <c r="E613" s="332"/>
      <c r="AH613" s="332"/>
      <c r="AI613" s="332"/>
      <c r="AJ613" s="332"/>
      <c r="AK613"/>
    </row>
    <row r="614" spans="5:37" ht="13.5" customHeight="1">
      <c r="E614" s="332"/>
      <c r="AH614" s="332"/>
      <c r="AI614" s="332"/>
      <c r="AJ614" s="332"/>
      <c r="AK614"/>
    </row>
    <row r="615" spans="5:37" ht="13.5" customHeight="1">
      <c r="E615" s="332"/>
      <c r="AH615" s="332"/>
      <c r="AI615" s="332"/>
      <c r="AJ615" s="332"/>
      <c r="AK615"/>
    </row>
    <row r="616" spans="5:37" ht="13.5" customHeight="1">
      <c r="E616" s="332"/>
      <c r="AH616" s="332"/>
      <c r="AI616" s="332"/>
      <c r="AJ616" s="332"/>
      <c r="AK616"/>
    </row>
    <row r="617" spans="5:37" ht="13.5" customHeight="1">
      <c r="E617" s="332"/>
      <c r="AH617" s="332"/>
      <c r="AI617" s="332"/>
      <c r="AJ617" s="332"/>
      <c r="AK617"/>
    </row>
    <row r="618" spans="5:37" ht="13.5" customHeight="1">
      <c r="E618" s="332"/>
      <c r="AH618" s="332"/>
      <c r="AI618" s="332"/>
      <c r="AJ618" s="332"/>
      <c r="AK618"/>
    </row>
    <row r="619" spans="5:37" ht="13.5" customHeight="1">
      <c r="E619" s="332"/>
      <c r="AH619" s="332"/>
      <c r="AI619" s="332"/>
      <c r="AJ619" s="332"/>
      <c r="AK619"/>
    </row>
    <row r="620" spans="5:37" ht="13.5" customHeight="1">
      <c r="E620" s="332"/>
      <c r="AH620" s="332"/>
      <c r="AI620" s="332"/>
      <c r="AJ620" s="332"/>
      <c r="AK620"/>
    </row>
    <row r="621" spans="5:37" ht="13.5" customHeight="1">
      <c r="E621" s="332"/>
      <c r="AH621" s="332"/>
      <c r="AI621" s="332"/>
      <c r="AJ621" s="332"/>
      <c r="AK621"/>
    </row>
    <row r="622" spans="5:37" ht="13.5" customHeight="1">
      <c r="E622" s="332"/>
      <c r="AH622" s="332"/>
      <c r="AI622" s="332"/>
      <c r="AJ622" s="332"/>
      <c r="AK622"/>
    </row>
    <row r="623" spans="5:37" ht="13.5" customHeight="1">
      <c r="E623" s="332"/>
      <c r="AH623" s="332"/>
      <c r="AI623" s="332"/>
      <c r="AJ623" s="332"/>
      <c r="AK623"/>
    </row>
    <row r="624" spans="5:37" ht="13.5" customHeight="1">
      <c r="E624" s="332"/>
      <c r="AH624" s="332"/>
      <c r="AI624" s="332"/>
      <c r="AJ624" s="332"/>
      <c r="AK624"/>
    </row>
    <row r="625" spans="5:37" ht="13.5" customHeight="1">
      <c r="E625" s="332"/>
      <c r="AH625" s="332"/>
      <c r="AI625" s="332"/>
      <c r="AJ625" s="332"/>
      <c r="AK625"/>
    </row>
    <row r="626" spans="5:37" ht="13.5" customHeight="1">
      <c r="E626" s="332"/>
      <c r="AH626" s="332"/>
      <c r="AI626" s="332"/>
      <c r="AJ626" s="332"/>
      <c r="AK626"/>
    </row>
    <row r="627" spans="5:37" ht="13.5" customHeight="1">
      <c r="E627" s="332"/>
      <c r="AH627" s="332"/>
      <c r="AI627" s="332"/>
      <c r="AJ627" s="332"/>
      <c r="AK627"/>
    </row>
    <row r="628" spans="5:37" ht="13.5" customHeight="1">
      <c r="E628" s="332"/>
      <c r="AH628" s="332"/>
      <c r="AI628" s="332"/>
      <c r="AJ628" s="332"/>
      <c r="AK628"/>
    </row>
    <row r="629" spans="5:37" ht="13.5" customHeight="1">
      <c r="E629" s="332"/>
      <c r="AH629" s="332"/>
      <c r="AI629" s="332"/>
      <c r="AJ629" s="332"/>
      <c r="AK629"/>
    </row>
    <row r="630" spans="5:37" ht="13.5" customHeight="1">
      <c r="E630" s="332"/>
      <c r="AH630" s="332"/>
      <c r="AI630" s="332"/>
      <c r="AJ630" s="332"/>
      <c r="AK630"/>
    </row>
    <row r="631" spans="5:37" ht="13.5" customHeight="1">
      <c r="E631" s="332"/>
      <c r="AH631" s="332"/>
      <c r="AI631" s="332"/>
      <c r="AJ631" s="332"/>
      <c r="AK631"/>
    </row>
    <row r="632" spans="5:37" ht="13.5" customHeight="1">
      <c r="E632" s="332"/>
      <c r="AH632" s="332"/>
      <c r="AI632" s="332"/>
      <c r="AJ632" s="332"/>
      <c r="AK632"/>
    </row>
    <row r="633" spans="5:37" ht="13.5" customHeight="1">
      <c r="E633" s="332"/>
      <c r="AH633" s="332"/>
      <c r="AI633" s="332"/>
      <c r="AJ633" s="332"/>
      <c r="AK633"/>
    </row>
    <row r="634" spans="5:37" ht="13.5" customHeight="1">
      <c r="E634" s="332"/>
      <c r="AH634" s="332"/>
      <c r="AI634" s="332"/>
      <c r="AJ634" s="332"/>
      <c r="AK634"/>
    </row>
    <row r="635" spans="5:37" ht="13.5" customHeight="1">
      <c r="E635" s="332"/>
      <c r="AH635" s="332"/>
      <c r="AI635" s="332"/>
      <c r="AJ635" s="332"/>
      <c r="AK635"/>
    </row>
    <row r="636" spans="5:37" ht="13.5" customHeight="1">
      <c r="E636" s="332"/>
      <c r="AH636" s="332"/>
      <c r="AI636" s="332"/>
      <c r="AJ636" s="332"/>
      <c r="AK636"/>
    </row>
    <row r="637" spans="5:37" ht="13.5" customHeight="1">
      <c r="E637" s="332"/>
      <c r="AH637" s="332"/>
      <c r="AI637" s="332"/>
      <c r="AJ637" s="332"/>
      <c r="AK637"/>
    </row>
    <row r="638" spans="5:37" ht="13.5" customHeight="1">
      <c r="E638" s="332"/>
      <c r="AH638" s="332"/>
      <c r="AI638" s="332"/>
      <c r="AJ638" s="332"/>
      <c r="AK638"/>
    </row>
    <row r="639" spans="5:37" ht="13.5" customHeight="1">
      <c r="E639" s="332"/>
      <c r="AH639" s="332"/>
      <c r="AI639" s="332"/>
      <c r="AJ639" s="332"/>
      <c r="AK639"/>
    </row>
    <row r="640" spans="5:37" ht="13.5" customHeight="1">
      <c r="E640" s="332"/>
      <c r="AH640" s="332"/>
      <c r="AI640" s="332"/>
      <c r="AJ640" s="332"/>
      <c r="AK640"/>
    </row>
    <row r="641" spans="5:37" ht="13.5" customHeight="1">
      <c r="E641" s="332"/>
      <c r="AH641" s="332"/>
      <c r="AI641" s="332"/>
      <c r="AJ641" s="332"/>
      <c r="AK641"/>
    </row>
    <row r="642" spans="5:37" ht="13.5" customHeight="1">
      <c r="E642" s="332"/>
      <c r="AH642" s="332"/>
      <c r="AI642" s="332"/>
      <c r="AJ642" s="332"/>
      <c r="AK642"/>
    </row>
    <row r="643" spans="5:37" ht="13.5" customHeight="1">
      <c r="E643" s="332"/>
      <c r="AH643" s="332"/>
      <c r="AI643" s="332"/>
      <c r="AJ643" s="332"/>
      <c r="AK643"/>
    </row>
    <row r="644" spans="5:37" ht="13.5" customHeight="1">
      <c r="E644" s="332"/>
      <c r="AH644" s="332"/>
      <c r="AI644" s="332"/>
      <c r="AJ644" s="332"/>
      <c r="AK644"/>
    </row>
    <row r="645" spans="5:37" ht="13.5" customHeight="1">
      <c r="E645" s="332"/>
      <c r="AH645" s="332"/>
      <c r="AI645" s="332"/>
      <c r="AJ645" s="332"/>
      <c r="AK645"/>
    </row>
    <row r="646" spans="5:37" ht="13.5" customHeight="1">
      <c r="E646" s="332"/>
      <c r="AH646" s="332"/>
      <c r="AI646" s="332"/>
      <c r="AJ646" s="332"/>
      <c r="AK646"/>
    </row>
    <row r="647" spans="5:37" ht="13.5" customHeight="1">
      <c r="E647" s="332"/>
      <c r="AH647" s="332"/>
      <c r="AI647" s="332"/>
      <c r="AJ647" s="332"/>
      <c r="AK647"/>
    </row>
    <row r="648" spans="5:37" ht="13.5" customHeight="1">
      <c r="E648" s="332"/>
      <c r="AH648" s="332"/>
      <c r="AI648" s="332"/>
      <c r="AJ648" s="332"/>
      <c r="AK648"/>
    </row>
    <row r="649" spans="5:37" ht="13.5" customHeight="1">
      <c r="E649" s="332"/>
      <c r="AH649" s="332"/>
      <c r="AI649" s="332"/>
      <c r="AJ649" s="332"/>
      <c r="AK649"/>
    </row>
    <row r="650" spans="5:37" ht="13.5" customHeight="1">
      <c r="E650" s="332"/>
      <c r="AH650" s="332"/>
      <c r="AI650" s="332"/>
      <c r="AJ650" s="332"/>
      <c r="AK650"/>
    </row>
    <row r="651" spans="5:37" ht="13.5" customHeight="1">
      <c r="E651" s="332"/>
      <c r="AH651" s="332"/>
      <c r="AI651" s="332"/>
      <c r="AJ651" s="332"/>
      <c r="AK651"/>
    </row>
    <row r="652" spans="5:37" ht="13.5" customHeight="1">
      <c r="E652" s="332"/>
      <c r="AH652" s="332"/>
      <c r="AI652" s="332"/>
      <c r="AJ652" s="332"/>
      <c r="AK652"/>
    </row>
    <row r="653" spans="5:37" ht="13.5" customHeight="1">
      <c r="E653" s="332"/>
      <c r="AH653" s="332"/>
      <c r="AI653" s="332"/>
      <c r="AJ653" s="332"/>
      <c r="AK653"/>
    </row>
    <row r="654" spans="5:37" ht="13.5" customHeight="1">
      <c r="E654" s="332"/>
      <c r="AH654" s="332"/>
      <c r="AI654" s="332"/>
      <c r="AJ654" s="332"/>
      <c r="AK654"/>
    </row>
    <row r="655" spans="5:37" ht="13.5" customHeight="1">
      <c r="E655" s="332"/>
      <c r="AH655" s="332"/>
      <c r="AI655" s="332"/>
      <c r="AJ655" s="332"/>
      <c r="AK655"/>
    </row>
    <row r="656" spans="5:37" ht="13.5" customHeight="1">
      <c r="E656" s="332"/>
      <c r="AH656" s="332"/>
      <c r="AI656" s="332"/>
      <c r="AJ656" s="332"/>
      <c r="AK656"/>
    </row>
    <row r="657" spans="5:37" ht="13.5" customHeight="1">
      <c r="E657" s="332"/>
      <c r="AH657" s="332"/>
      <c r="AI657" s="332"/>
      <c r="AJ657" s="332"/>
      <c r="AK657"/>
    </row>
    <row r="658" spans="5:37" ht="13.5" customHeight="1">
      <c r="E658" s="332"/>
      <c r="AH658" s="332"/>
      <c r="AI658" s="332"/>
      <c r="AJ658" s="332"/>
      <c r="AK658"/>
    </row>
    <row r="659" spans="5:37" ht="13.5" customHeight="1">
      <c r="E659" s="332"/>
      <c r="AH659" s="332"/>
      <c r="AI659" s="332"/>
      <c r="AJ659" s="332"/>
      <c r="AK659"/>
    </row>
    <row r="660" spans="5:37" ht="13.5" customHeight="1">
      <c r="E660" s="332"/>
      <c r="AH660" s="332"/>
      <c r="AI660" s="332"/>
      <c r="AJ660" s="332"/>
      <c r="AK660"/>
    </row>
    <row r="661" spans="5:37" ht="13.5" customHeight="1">
      <c r="E661" s="332"/>
      <c r="AH661" s="332"/>
      <c r="AI661" s="332"/>
      <c r="AJ661" s="332"/>
      <c r="AK661"/>
    </row>
    <row r="662" spans="5:37" ht="13.5" customHeight="1">
      <c r="E662" s="332"/>
      <c r="AH662" s="332"/>
      <c r="AI662" s="332"/>
      <c r="AJ662" s="332"/>
      <c r="AK662"/>
    </row>
    <row r="663" spans="5:37" ht="13.5" customHeight="1">
      <c r="E663" s="332"/>
      <c r="AH663" s="332"/>
      <c r="AI663" s="332"/>
      <c r="AJ663" s="332"/>
      <c r="AK663"/>
    </row>
    <row r="664" spans="5:37" ht="13.5" customHeight="1">
      <c r="E664" s="332"/>
      <c r="AH664" s="332"/>
      <c r="AI664" s="332"/>
      <c r="AJ664" s="332"/>
      <c r="AK664"/>
    </row>
    <row r="665" spans="5:37" ht="13.5" customHeight="1">
      <c r="E665" s="332"/>
      <c r="AH665" s="332"/>
      <c r="AI665" s="332"/>
      <c r="AJ665" s="332"/>
      <c r="AK665"/>
    </row>
    <row r="666" spans="5:37" ht="13.5" customHeight="1">
      <c r="E666" s="332"/>
      <c r="AH666" s="332"/>
      <c r="AI666" s="332"/>
      <c r="AJ666" s="332"/>
      <c r="AK666"/>
    </row>
    <row r="667" spans="5:37" ht="13.5" customHeight="1">
      <c r="E667" s="332"/>
      <c r="AH667" s="332"/>
      <c r="AI667" s="332"/>
      <c r="AJ667" s="332"/>
      <c r="AK667"/>
    </row>
    <row r="668" spans="5:37" ht="13.5" customHeight="1">
      <c r="E668" s="332"/>
      <c r="AH668" s="332"/>
      <c r="AI668" s="332"/>
      <c r="AJ668" s="332"/>
      <c r="AK668"/>
    </row>
    <row r="669" spans="5:37" ht="13.5" customHeight="1">
      <c r="E669" s="332"/>
      <c r="AH669" s="332"/>
      <c r="AI669" s="332"/>
      <c r="AJ669" s="332"/>
      <c r="AK669"/>
    </row>
    <row r="670" spans="5:37" ht="13.5" customHeight="1">
      <c r="E670" s="332"/>
      <c r="AH670" s="332"/>
      <c r="AI670" s="332"/>
      <c r="AJ670" s="332"/>
      <c r="AK670"/>
    </row>
    <row r="671" spans="5:37" ht="13.5" customHeight="1">
      <c r="E671" s="332"/>
      <c r="AH671" s="332"/>
      <c r="AI671" s="332"/>
      <c r="AJ671" s="332"/>
      <c r="AK671"/>
    </row>
    <row r="672" spans="5:37" ht="13.5" customHeight="1">
      <c r="E672" s="332"/>
      <c r="AH672" s="332"/>
      <c r="AI672" s="332"/>
      <c r="AJ672" s="332"/>
      <c r="AK672"/>
    </row>
    <row r="673" spans="5:37" ht="13.5" customHeight="1">
      <c r="E673" s="332"/>
      <c r="AH673" s="332"/>
      <c r="AI673" s="332"/>
      <c r="AJ673" s="332"/>
      <c r="AK673"/>
    </row>
    <row r="674" spans="5:37" ht="13.5" customHeight="1">
      <c r="E674" s="332"/>
      <c r="AH674" s="332"/>
      <c r="AI674" s="332"/>
      <c r="AJ674" s="332"/>
      <c r="AK674"/>
    </row>
    <row r="675" spans="5:37" ht="13.5" customHeight="1">
      <c r="E675" s="332"/>
      <c r="AH675" s="332"/>
      <c r="AI675" s="332"/>
      <c r="AJ675" s="332"/>
      <c r="AK675"/>
    </row>
    <row r="676" spans="5:37" ht="13.5" customHeight="1">
      <c r="E676" s="332"/>
      <c r="AH676" s="332"/>
      <c r="AI676" s="332"/>
      <c r="AJ676" s="332"/>
      <c r="AK676"/>
    </row>
    <row r="677" spans="5:37" ht="13.5" customHeight="1">
      <c r="E677" s="332"/>
      <c r="AH677" s="332"/>
      <c r="AI677" s="332"/>
      <c r="AJ677" s="332"/>
      <c r="AK677"/>
    </row>
    <row r="678" spans="5:37" ht="13.5" customHeight="1">
      <c r="E678" s="332"/>
      <c r="AH678" s="332"/>
      <c r="AI678" s="332"/>
      <c r="AJ678" s="332"/>
      <c r="AK678"/>
    </row>
    <row r="679" spans="5:37" ht="13.5" customHeight="1">
      <c r="E679" s="332"/>
      <c r="AH679" s="332"/>
      <c r="AI679" s="332"/>
      <c r="AJ679" s="332"/>
      <c r="AK679"/>
    </row>
    <row r="680" spans="5:37" ht="13.5" customHeight="1">
      <c r="E680" s="332"/>
      <c r="AH680" s="332"/>
      <c r="AI680" s="332"/>
      <c r="AJ680" s="332"/>
      <c r="AK680"/>
    </row>
    <row r="681" spans="5:37" ht="13.5" customHeight="1">
      <c r="E681" s="332"/>
      <c r="AH681" s="332"/>
      <c r="AI681" s="332"/>
      <c r="AJ681" s="332"/>
      <c r="AK681"/>
    </row>
    <row r="682" spans="5:37" ht="13.5" customHeight="1">
      <c r="E682" s="332"/>
      <c r="AH682" s="332"/>
      <c r="AI682" s="332"/>
      <c r="AJ682" s="332"/>
      <c r="AK682"/>
    </row>
    <row r="683" spans="5:37" ht="13.5" customHeight="1">
      <c r="E683" s="332"/>
      <c r="AH683" s="332"/>
      <c r="AI683" s="332"/>
      <c r="AJ683" s="332"/>
      <c r="AK683"/>
    </row>
    <row r="684" spans="5:37" ht="13.5" customHeight="1">
      <c r="E684" s="332"/>
      <c r="AH684" s="332"/>
      <c r="AI684" s="332"/>
      <c r="AJ684" s="332"/>
      <c r="AK684"/>
    </row>
    <row r="685" spans="5:37" ht="13.5" customHeight="1">
      <c r="E685" s="332"/>
      <c r="AH685" s="332"/>
      <c r="AI685" s="332"/>
      <c r="AJ685" s="332"/>
      <c r="AK685"/>
    </row>
    <row r="686" spans="5:37" ht="13.5" customHeight="1">
      <c r="E686" s="332"/>
      <c r="AH686" s="332"/>
      <c r="AI686" s="332"/>
      <c r="AJ686" s="332"/>
      <c r="AK686"/>
    </row>
    <row r="687" spans="5:37" ht="13.5" customHeight="1">
      <c r="E687" s="332"/>
      <c r="AH687" s="332"/>
      <c r="AI687" s="332"/>
      <c r="AJ687" s="332"/>
      <c r="AK687"/>
    </row>
    <row r="688" spans="5:37" ht="13.5" customHeight="1">
      <c r="E688" s="332"/>
      <c r="AH688" s="332"/>
      <c r="AI688" s="332"/>
      <c r="AJ688" s="332"/>
      <c r="AK688"/>
    </row>
    <row r="689" spans="5:37" ht="13.5" customHeight="1">
      <c r="E689" s="332"/>
      <c r="AH689" s="332"/>
      <c r="AI689" s="332"/>
      <c r="AJ689" s="332"/>
      <c r="AK689"/>
    </row>
    <row r="690" spans="5:37" ht="13.5" customHeight="1">
      <c r="E690" s="332"/>
      <c r="AH690" s="332"/>
      <c r="AI690" s="332"/>
      <c r="AJ690" s="332"/>
      <c r="AK690"/>
    </row>
    <row r="691" spans="5:37" ht="13.5" customHeight="1">
      <c r="E691" s="332"/>
      <c r="AH691" s="332"/>
      <c r="AI691" s="332"/>
      <c r="AJ691" s="332"/>
      <c r="AK691"/>
    </row>
    <row r="692" spans="5:37" ht="13.5" customHeight="1">
      <c r="E692" s="332"/>
      <c r="AH692" s="332"/>
      <c r="AI692" s="332"/>
      <c r="AJ692" s="332"/>
      <c r="AK692"/>
    </row>
    <row r="693" spans="5:37" ht="13.5" customHeight="1">
      <c r="E693" s="332"/>
      <c r="AH693" s="332"/>
      <c r="AI693" s="332"/>
      <c r="AJ693" s="332"/>
      <c r="AK693"/>
    </row>
    <row r="694" spans="5:37" ht="13.5" customHeight="1">
      <c r="E694" s="332"/>
      <c r="AH694" s="332"/>
      <c r="AI694" s="332"/>
      <c r="AJ694" s="332"/>
      <c r="AK694"/>
    </row>
    <row r="695" spans="5:37" ht="13.5" customHeight="1">
      <c r="E695" s="332"/>
      <c r="AH695" s="332"/>
      <c r="AI695" s="332"/>
      <c r="AJ695" s="332"/>
      <c r="AK695"/>
    </row>
    <row r="696" spans="5:37" ht="13.5" customHeight="1">
      <c r="E696" s="332"/>
      <c r="AH696" s="332"/>
      <c r="AI696" s="332"/>
      <c r="AJ696" s="332"/>
      <c r="AK696"/>
    </row>
    <row r="697" spans="5:37" ht="13.5" customHeight="1">
      <c r="E697" s="332"/>
      <c r="AH697" s="332"/>
      <c r="AI697" s="332"/>
      <c r="AJ697" s="332"/>
      <c r="AK697"/>
    </row>
    <row r="698" spans="5:37" ht="13.5" customHeight="1">
      <c r="E698" s="332"/>
      <c r="AH698" s="332"/>
      <c r="AI698" s="332"/>
      <c r="AJ698" s="332"/>
      <c r="AK698"/>
    </row>
    <row r="699" spans="5:37" ht="13.5" customHeight="1">
      <c r="E699" s="332"/>
      <c r="AH699" s="332"/>
      <c r="AI699" s="332"/>
      <c r="AJ699" s="332"/>
      <c r="AK699"/>
    </row>
    <row r="700" spans="5:37" ht="13.5" customHeight="1">
      <c r="E700" s="332"/>
      <c r="AH700" s="332"/>
      <c r="AI700" s="332"/>
      <c r="AJ700" s="332"/>
      <c r="AK700"/>
    </row>
    <row r="701" spans="5:37" ht="13.5" customHeight="1">
      <c r="E701" s="332"/>
      <c r="AH701" s="332"/>
      <c r="AI701" s="332"/>
      <c r="AJ701" s="332"/>
      <c r="AK701"/>
    </row>
    <row r="702" spans="5:37" ht="13.5" customHeight="1">
      <c r="E702" s="332"/>
      <c r="AH702" s="332"/>
      <c r="AI702" s="332"/>
      <c r="AJ702" s="332"/>
      <c r="AK702"/>
    </row>
    <row r="703" spans="5:37" ht="13.5" customHeight="1">
      <c r="E703" s="332"/>
      <c r="AH703" s="332"/>
      <c r="AI703" s="332"/>
      <c r="AJ703" s="332"/>
      <c r="AK703"/>
    </row>
    <row r="704" spans="5:37" ht="13.5" customHeight="1">
      <c r="E704" s="332"/>
      <c r="AH704" s="332"/>
      <c r="AI704" s="332"/>
      <c r="AJ704" s="332"/>
      <c r="AK704"/>
    </row>
    <row r="705" spans="5:37" ht="13.5" customHeight="1">
      <c r="E705" s="332"/>
      <c r="AH705" s="332"/>
      <c r="AI705" s="332"/>
      <c r="AJ705" s="332"/>
      <c r="AK705"/>
    </row>
    <row r="706" spans="5:37" ht="13.5" customHeight="1">
      <c r="E706" s="332"/>
      <c r="AH706" s="332"/>
      <c r="AI706" s="332"/>
      <c r="AJ706" s="332"/>
      <c r="AK706"/>
    </row>
    <row r="707" spans="5:37" ht="13.5" customHeight="1">
      <c r="E707" s="332"/>
      <c r="AH707" s="332"/>
      <c r="AI707" s="332"/>
      <c r="AJ707" s="332"/>
      <c r="AK707"/>
    </row>
    <row r="708" spans="5:37" ht="13.5" customHeight="1">
      <c r="E708" s="332"/>
      <c r="AH708" s="332"/>
      <c r="AI708" s="332"/>
      <c r="AJ708" s="332"/>
      <c r="AK708"/>
    </row>
    <row r="709" spans="5:37" ht="13.5" customHeight="1">
      <c r="E709" s="332"/>
      <c r="AH709" s="332"/>
      <c r="AI709" s="332"/>
      <c r="AJ709" s="332"/>
      <c r="AK709"/>
    </row>
    <row r="710" spans="5:37" ht="13.5" customHeight="1">
      <c r="E710" s="332"/>
      <c r="AH710" s="332"/>
      <c r="AI710" s="332"/>
      <c r="AJ710" s="332"/>
      <c r="AK710"/>
    </row>
    <row r="711" spans="5:37" ht="13.5" customHeight="1">
      <c r="E711" s="332"/>
      <c r="AH711" s="332"/>
      <c r="AI711" s="332"/>
      <c r="AJ711" s="332"/>
      <c r="AK711"/>
    </row>
    <row r="712" spans="5:37" ht="13.5" customHeight="1">
      <c r="E712" s="332"/>
      <c r="AH712" s="332"/>
      <c r="AI712" s="332"/>
      <c r="AJ712" s="332"/>
      <c r="AK712"/>
    </row>
    <row r="713" spans="5:37" ht="13.5" customHeight="1">
      <c r="E713" s="332"/>
      <c r="AH713" s="332"/>
      <c r="AI713" s="332"/>
      <c r="AJ713" s="332"/>
      <c r="AK713"/>
    </row>
    <row r="714" spans="5:37" ht="13.5" customHeight="1">
      <c r="E714" s="332"/>
      <c r="AH714" s="332"/>
      <c r="AI714" s="332"/>
      <c r="AJ714" s="332"/>
      <c r="AK714"/>
    </row>
    <row r="715" spans="5:37" ht="13.5" customHeight="1">
      <c r="E715" s="332"/>
      <c r="AH715" s="332"/>
      <c r="AI715" s="332"/>
      <c r="AJ715" s="332"/>
      <c r="AK715"/>
    </row>
    <row r="716" spans="5:37" ht="13.5" customHeight="1">
      <c r="E716" s="332"/>
      <c r="AH716" s="332"/>
      <c r="AI716" s="332"/>
      <c r="AJ716" s="332"/>
      <c r="AK716"/>
    </row>
    <row r="717" spans="5:37" ht="13.5" customHeight="1">
      <c r="E717" s="332"/>
      <c r="AH717" s="332"/>
      <c r="AI717" s="332"/>
      <c r="AJ717" s="332"/>
      <c r="AK717"/>
    </row>
    <row r="718" spans="5:37" ht="13.5" customHeight="1">
      <c r="E718" s="332"/>
      <c r="AH718" s="332"/>
      <c r="AI718" s="332"/>
      <c r="AJ718" s="332"/>
      <c r="AK718"/>
    </row>
    <row r="719" spans="5:37" ht="13.5" customHeight="1">
      <c r="E719" s="332"/>
      <c r="AH719" s="332"/>
      <c r="AI719" s="332"/>
      <c r="AJ719" s="332"/>
      <c r="AK719"/>
    </row>
    <row r="720" spans="5:37" ht="13.5" customHeight="1">
      <c r="E720" s="332"/>
      <c r="AH720" s="332"/>
      <c r="AI720" s="332"/>
      <c r="AJ720" s="332"/>
      <c r="AK720"/>
    </row>
    <row r="721" spans="5:37" ht="13.5" customHeight="1">
      <c r="E721" s="332"/>
      <c r="AH721" s="332"/>
      <c r="AI721" s="332"/>
      <c r="AJ721" s="332"/>
      <c r="AK721"/>
    </row>
    <row r="722" spans="5:37" ht="13.5" customHeight="1">
      <c r="E722" s="332"/>
      <c r="AH722" s="332"/>
      <c r="AI722" s="332"/>
      <c r="AJ722" s="332"/>
      <c r="AK722"/>
    </row>
    <row r="723" spans="5:37" ht="13.5" customHeight="1">
      <c r="E723" s="332"/>
      <c r="AH723" s="332"/>
      <c r="AI723" s="332"/>
      <c r="AJ723" s="332"/>
      <c r="AK723"/>
    </row>
    <row r="724" spans="5:37" ht="13.5" customHeight="1">
      <c r="E724" s="332"/>
      <c r="AH724" s="332"/>
      <c r="AI724" s="332"/>
      <c r="AJ724" s="332"/>
      <c r="AK724"/>
    </row>
    <row r="725" spans="5:37" ht="13.5" customHeight="1">
      <c r="E725" s="332"/>
      <c r="AH725" s="332"/>
      <c r="AI725" s="332"/>
      <c r="AJ725" s="332"/>
      <c r="AK725"/>
    </row>
    <row r="726" spans="5:37" ht="13.5" customHeight="1">
      <c r="E726" s="332"/>
      <c r="AH726" s="332"/>
      <c r="AI726" s="332"/>
      <c r="AJ726" s="332"/>
      <c r="AK726"/>
    </row>
    <row r="727" spans="5:37" ht="13.5" customHeight="1">
      <c r="E727" s="332"/>
      <c r="AH727" s="332"/>
      <c r="AI727" s="332"/>
      <c r="AJ727" s="332"/>
      <c r="AK727"/>
    </row>
    <row r="728" spans="5:37" ht="13.5" customHeight="1">
      <c r="E728" s="332"/>
      <c r="AH728" s="332"/>
      <c r="AI728" s="332"/>
      <c r="AJ728" s="332"/>
      <c r="AK728"/>
    </row>
    <row r="729" spans="5:37" ht="13.5" customHeight="1">
      <c r="E729" s="332"/>
      <c r="AH729" s="332"/>
      <c r="AI729" s="332"/>
      <c r="AJ729" s="332"/>
      <c r="AK729"/>
    </row>
    <row r="730" spans="5:37" ht="13.5" customHeight="1">
      <c r="E730" s="332"/>
      <c r="AH730" s="332"/>
      <c r="AI730" s="332"/>
      <c r="AJ730" s="332"/>
      <c r="AK730"/>
    </row>
    <row r="731" spans="5:37" ht="13.5" customHeight="1">
      <c r="E731" s="332"/>
      <c r="AH731" s="332"/>
      <c r="AI731" s="332"/>
      <c r="AJ731" s="332"/>
      <c r="AK731"/>
    </row>
    <row r="732" spans="5:37" ht="13.5" customHeight="1">
      <c r="E732" s="332"/>
      <c r="AH732" s="332"/>
      <c r="AI732" s="332"/>
      <c r="AJ732" s="332"/>
      <c r="AK732"/>
    </row>
    <row r="733" spans="5:37" ht="13.5" customHeight="1">
      <c r="E733" s="332"/>
      <c r="AH733" s="332"/>
      <c r="AI733" s="332"/>
      <c r="AJ733" s="332"/>
      <c r="AK733"/>
    </row>
    <row r="734" spans="5:37" ht="13.5" customHeight="1">
      <c r="E734" s="332"/>
      <c r="AH734" s="332"/>
      <c r="AI734" s="332"/>
      <c r="AJ734" s="332"/>
      <c r="AK734"/>
    </row>
    <row r="735" spans="5:37" ht="13.5" customHeight="1">
      <c r="E735" s="332"/>
      <c r="AH735" s="332"/>
      <c r="AI735" s="332"/>
      <c r="AJ735" s="332"/>
      <c r="AK735"/>
    </row>
    <row r="736" spans="5:37" ht="13.5" customHeight="1">
      <c r="E736" s="332"/>
      <c r="AH736" s="332"/>
      <c r="AI736" s="332"/>
      <c r="AJ736" s="332"/>
      <c r="AK736"/>
    </row>
    <row r="737" spans="5:37" ht="13.5" customHeight="1">
      <c r="E737" s="332"/>
      <c r="AH737" s="332"/>
      <c r="AI737" s="332"/>
      <c r="AJ737" s="332"/>
      <c r="AK737"/>
    </row>
    <row r="738" spans="5:37" ht="13.5" customHeight="1">
      <c r="E738" s="332"/>
      <c r="AH738" s="332"/>
      <c r="AI738" s="332"/>
      <c r="AJ738" s="332"/>
      <c r="AK738"/>
    </row>
    <row r="739" spans="5:37" ht="13.5" customHeight="1">
      <c r="E739" s="332"/>
      <c r="AH739" s="332"/>
      <c r="AI739" s="332"/>
      <c r="AJ739" s="332"/>
      <c r="AK739"/>
    </row>
    <row r="740" spans="5:37" ht="13.5" customHeight="1">
      <c r="E740" s="332"/>
      <c r="AH740" s="332"/>
      <c r="AI740" s="332"/>
      <c r="AJ740" s="332"/>
      <c r="AK740"/>
    </row>
    <row r="741" spans="5:37" ht="13.5" customHeight="1">
      <c r="E741" s="332"/>
      <c r="AH741" s="332"/>
      <c r="AI741" s="332"/>
      <c r="AJ741" s="332"/>
      <c r="AK741"/>
    </row>
    <row r="742" spans="5:37" ht="13.5" customHeight="1">
      <c r="E742" s="332"/>
      <c r="AE742" s="334"/>
      <c r="AH742" s="332"/>
      <c r="AI742" s="332"/>
      <c r="AJ742" s="332"/>
      <c r="AK742"/>
    </row>
    <row r="743" spans="5:37" ht="13.5" customHeight="1">
      <c r="AJ743" s="332"/>
    </row>
    <row r="744" spans="5:37" ht="13.5" customHeight="1">
      <c r="AJ744" s="332"/>
    </row>
    <row r="745" spans="5:37" ht="13.5" customHeight="1">
      <c r="AJ745" s="332"/>
    </row>
    <row r="746" spans="5:37" ht="13.5" customHeight="1">
      <c r="AJ746" s="332"/>
    </row>
    <row r="747" spans="5:37" ht="13.5" customHeight="1">
      <c r="AJ747" s="332"/>
    </row>
    <row r="748" spans="5:37" ht="13.5" customHeight="1">
      <c r="AJ748" s="332"/>
    </row>
    <row r="749" spans="5:37" ht="13.5" customHeight="1">
      <c r="AJ749" s="332"/>
    </row>
    <row r="750" spans="5:37" ht="13.5" customHeight="1">
      <c r="AJ750" s="332"/>
    </row>
    <row r="751" spans="5:37" ht="13.5" customHeight="1">
      <c r="AJ751" s="332"/>
    </row>
    <row r="752" spans="5:37" ht="13.5" customHeight="1">
      <c r="AJ752" s="332"/>
    </row>
    <row r="753" spans="36:36" ht="13.5" customHeight="1">
      <c r="AJ753" s="332"/>
    </row>
    <row r="754" spans="36:36" ht="13.5" customHeight="1">
      <c r="AJ754" s="332"/>
    </row>
    <row r="755" spans="36:36" ht="13.5" customHeight="1">
      <c r="AJ755" s="332"/>
    </row>
    <row r="756" spans="36:36" ht="13.5" customHeight="1">
      <c r="AJ756" s="332"/>
    </row>
    <row r="757" spans="36:36" ht="13.5" customHeight="1">
      <c r="AJ757" s="332"/>
    </row>
    <row r="758" spans="36:36" ht="13.5" customHeight="1">
      <c r="AJ758" s="332"/>
    </row>
    <row r="759" spans="36:36" ht="13.5" customHeight="1">
      <c r="AJ759" s="332"/>
    </row>
    <row r="760" spans="36:36" ht="13.5" customHeight="1">
      <c r="AJ760" s="332"/>
    </row>
    <row r="761" spans="36:36" ht="13.5" customHeight="1">
      <c r="AJ761" s="332"/>
    </row>
    <row r="762" spans="36:36" ht="13.5" customHeight="1">
      <c r="AJ762" s="332"/>
    </row>
    <row r="763" spans="36:36" ht="13.5" customHeight="1">
      <c r="AJ763" s="332"/>
    </row>
    <row r="764" spans="36:36" ht="13.5" customHeight="1">
      <c r="AJ764" s="332"/>
    </row>
    <row r="765" spans="36:36" ht="13.5" customHeight="1">
      <c r="AJ765" s="332"/>
    </row>
    <row r="766" spans="36:36" ht="13.5" customHeight="1">
      <c r="AJ766" s="332"/>
    </row>
    <row r="767" spans="36:36" ht="13.5" customHeight="1">
      <c r="AJ767" s="332"/>
    </row>
    <row r="768" spans="36:36" ht="13.5" customHeight="1">
      <c r="AJ768" s="332"/>
    </row>
    <row r="769" spans="36:36" ht="13.5" customHeight="1">
      <c r="AJ769" s="332"/>
    </row>
    <row r="770" spans="36:36" ht="13.5" customHeight="1">
      <c r="AJ770" s="332"/>
    </row>
    <row r="771" spans="36:36" ht="13.5" customHeight="1">
      <c r="AJ771" s="332"/>
    </row>
    <row r="772" spans="36:36" ht="13.5" customHeight="1">
      <c r="AJ772" s="332"/>
    </row>
    <row r="773" spans="36:36" ht="13.5" customHeight="1">
      <c r="AJ773" s="332"/>
    </row>
    <row r="774" spans="36:36" ht="13.5" customHeight="1">
      <c r="AJ774" s="332"/>
    </row>
    <row r="775" spans="36:36" ht="13.5" customHeight="1">
      <c r="AJ775" s="332"/>
    </row>
    <row r="776" spans="36:36" ht="13.5" customHeight="1">
      <c r="AJ776" s="332"/>
    </row>
    <row r="777" spans="36:36" ht="13.5" customHeight="1"/>
    <row r="778" spans="36:36" ht="13.5" customHeight="1"/>
    <row r="779" spans="36:36" ht="13.5" customHeight="1"/>
    <row r="780" spans="36:36" ht="13.5" customHeight="1"/>
    <row r="781" spans="36:36" ht="13.5" customHeight="1"/>
    <row r="782" spans="36:36" ht="13.5" customHeight="1"/>
    <row r="783" spans="36:36" ht="13.5" customHeight="1"/>
    <row r="784" spans="36:36"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sheetData>
  <sortState xmlns:xlrd2="http://schemas.microsoft.com/office/spreadsheetml/2017/richdata2" ref="A12:AN742">
    <sortCondition ref="AC12:AC742"/>
  </sortState>
  <mergeCells count="25">
    <mergeCell ref="AL5:AL9"/>
    <mergeCell ref="B5:B9"/>
    <mergeCell ref="F5:F9"/>
    <mergeCell ref="I5:I9"/>
    <mergeCell ref="J5:J9"/>
    <mergeCell ref="K5:K9"/>
    <mergeCell ref="V5:V9"/>
    <mergeCell ref="L5:L9"/>
    <mergeCell ref="M5:M9"/>
    <mergeCell ref="N5:N9"/>
    <mergeCell ref="O5:O9"/>
    <mergeCell ref="P5:P9"/>
    <mergeCell ref="Q5:Q9"/>
    <mergeCell ref="R5:R9"/>
    <mergeCell ref="S5:S9"/>
    <mergeCell ref="T5:T9"/>
    <mergeCell ref="U5:U9"/>
    <mergeCell ref="AF5:AF9"/>
    <mergeCell ref="AG5:AG9"/>
    <mergeCell ref="AE5:AE9"/>
    <mergeCell ref="W5:W9"/>
    <mergeCell ref="X5:X9"/>
    <mergeCell ref="Z5:Z9"/>
    <mergeCell ref="AA5:AA9"/>
    <mergeCell ref="Y5:Y9"/>
  </mergeCells>
  <phoneticPr fontId="73" type="noConversion"/>
  <hyperlinks>
    <hyperlink ref="E5" location="GEN!AF1" display="GEN" xr:uid="{00000000-0004-0000-02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e!$B$1:$Z$1</xm:f>
          </x14:formula1>
          <xm:sqref>C4 C1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S120"/>
  <sheetViews>
    <sheetView showGridLines="0" showRowColHeaders="0" zoomScaleNormal="100" workbookViewId="0">
      <pane ySplit="1" topLeftCell="A2" activePane="bottomLeft" state="frozen"/>
      <selection activeCell="B1" sqref="B1:J1"/>
      <selection pane="bottomLeft" activeCell="B1" sqref="B1:J1"/>
    </sheetView>
  </sheetViews>
  <sheetFormatPr baseColWidth="10" defaultColWidth="9.140625" defaultRowHeight="15"/>
  <cols>
    <col min="1" max="1" width="6" customWidth="1"/>
    <col min="2" max="44" width="2.28515625" customWidth="1"/>
    <col min="45" max="45" width="7.140625" customWidth="1"/>
    <col min="46" max="58" width="2.28515625" customWidth="1"/>
  </cols>
  <sheetData>
    <row r="1" spans="1:45">
      <c r="B1" s="469" t="s">
        <v>1646</v>
      </c>
      <c r="C1" s="470"/>
      <c r="D1" s="470"/>
      <c r="E1" s="470"/>
      <c r="F1" s="470"/>
      <c r="G1" s="470"/>
      <c r="H1" s="470"/>
      <c r="I1" s="470"/>
      <c r="J1" s="471"/>
    </row>
    <row r="2" spans="1:45" ht="23.25" customHeight="1">
      <c r="A2" s="18"/>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19"/>
    </row>
    <row r="3" spans="1:45" ht="20.25" customHeight="1">
      <c r="A3" s="23"/>
      <c r="B3" s="71"/>
      <c r="C3" s="72">
        <v>2</v>
      </c>
      <c r="D3" s="474" t="str">
        <f>HLOOKUP($B$1,e!$A$1:$Z$243,C3,FALSE)</f>
        <v>Herramienta para el Entrenamiento del Mapeo Generacional</v>
      </c>
      <c r="E3" s="474"/>
      <c r="F3" s="474"/>
      <c r="G3" s="474"/>
      <c r="H3" s="474"/>
      <c r="I3" s="474"/>
      <c r="J3" s="474"/>
      <c r="K3" s="474"/>
      <c r="L3" s="474"/>
      <c r="M3" s="474"/>
      <c r="N3" s="474"/>
      <c r="O3" s="474"/>
      <c r="P3" s="474"/>
      <c r="Q3" s="474"/>
      <c r="R3" s="474"/>
      <c r="S3" s="474"/>
      <c r="T3" s="474"/>
      <c r="U3" s="474"/>
      <c r="V3" s="474"/>
      <c r="W3" s="474"/>
      <c r="X3" s="474"/>
      <c r="Y3" s="474"/>
      <c r="Z3" s="474"/>
      <c r="AA3" s="474"/>
      <c r="AB3" s="474"/>
      <c r="AC3" s="474"/>
      <c r="AD3" s="474"/>
      <c r="AE3" s="474"/>
      <c r="AF3" s="474"/>
      <c r="AG3" s="474"/>
      <c r="AH3" s="474"/>
      <c r="AI3" s="474"/>
      <c r="AJ3" s="474"/>
      <c r="AK3" s="474"/>
      <c r="AL3" s="474"/>
      <c r="AM3" s="474"/>
      <c r="AN3" s="474"/>
      <c r="AO3" s="474"/>
      <c r="AP3" s="474"/>
      <c r="AQ3" s="69"/>
      <c r="AR3" s="50"/>
      <c r="AS3" s="20"/>
    </row>
    <row r="4" spans="1:45" ht="15" customHeight="1">
      <c r="A4" s="23"/>
      <c r="B4" s="49">
        <v>53</v>
      </c>
      <c r="C4" s="472" t="str">
        <f>HLOOKUP($B$1,e!$A$1:$Z$243,B4,FALSE)</f>
        <v>Guía de Referencia Rápida</v>
      </c>
      <c r="D4" s="472"/>
      <c r="E4" s="472"/>
      <c r="F4" s="472"/>
      <c r="G4" s="472"/>
      <c r="H4" s="472"/>
      <c r="I4" s="472"/>
      <c r="J4" s="472"/>
      <c r="K4" s="472"/>
      <c r="L4" s="472"/>
      <c r="M4" s="472"/>
      <c r="N4" s="472"/>
      <c r="O4" s="472"/>
      <c r="P4" s="472"/>
      <c r="Q4" s="472"/>
      <c r="R4" s="472"/>
      <c r="S4" s="472"/>
      <c r="T4" s="472"/>
      <c r="U4" s="472"/>
      <c r="V4" s="472"/>
      <c r="W4" s="472"/>
      <c r="X4" s="472"/>
      <c r="Y4" s="472"/>
      <c r="Z4" s="472"/>
      <c r="AA4" s="472"/>
      <c r="AB4" s="472"/>
      <c r="AC4" s="472"/>
      <c r="AD4" s="472"/>
      <c r="AE4" s="472"/>
      <c r="AF4" s="472"/>
      <c r="AG4" s="472"/>
      <c r="AH4" s="472"/>
      <c r="AI4" s="472"/>
      <c r="AJ4" s="472"/>
      <c r="AK4" s="472"/>
      <c r="AL4" s="472"/>
      <c r="AM4" s="472"/>
      <c r="AN4" s="472"/>
      <c r="AO4" s="472"/>
      <c r="AP4" s="472"/>
      <c r="AQ4" s="472"/>
      <c r="AR4" s="39"/>
      <c r="AS4" s="20"/>
    </row>
    <row r="5" spans="1:45" ht="15.95" customHeight="1">
      <c r="A5" s="23"/>
      <c r="B5" s="49">
        <v>55</v>
      </c>
      <c r="C5" s="475" t="str">
        <f>HLOOKUP($B$1,e!$A$1:$Z$243,B5,FALSE)</f>
        <v>La Herramienta para el Entrenamiento del Mapeo Generacional es un lugar para registrar los detalles, mediante una sesión de entrenamiento, sobre la salud y las funciones de un grupo. Los detalles son de un período que generalmente abarca tres meses (un trimestre del año), desde el comienzo del primer mes hasta el final del tercero.</v>
      </c>
      <c r="D5" s="475"/>
      <c r="E5" s="475"/>
      <c r="F5" s="475"/>
      <c r="G5" s="475"/>
      <c r="H5" s="475"/>
      <c r="I5" s="475"/>
      <c r="J5" s="475"/>
      <c r="K5" s="475"/>
      <c r="L5" s="475"/>
      <c r="M5" s="475"/>
      <c r="N5" s="475"/>
      <c r="O5" s="475"/>
      <c r="P5" s="475"/>
      <c r="Q5" s="475"/>
      <c r="R5" s="475"/>
      <c r="S5" s="475"/>
      <c r="T5" s="475"/>
      <c r="U5" s="475"/>
      <c r="V5" s="475"/>
      <c r="W5" s="475"/>
      <c r="X5" s="475"/>
      <c r="Y5" s="475"/>
      <c r="Z5" s="475"/>
      <c r="AA5" s="475"/>
      <c r="AB5" s="475"/>
      <c r="AC5" s="475"/>
      <c r="AD5" s="475"/>
      <c r="AE5" s="475"/>
      <c r="AF5" s="475"/>
      <c r="AG5" s="475"/>
      <c r="AH5" s="475"/>
      <c r="AI5" s="475"/>
      <c r="AJ5" s="475"/>
      <c r="AK5" s="475"/>
      <c r="AL5" s="475"/>
      <c r="AM5" s="475"/>
      <c r="AN5" s="475"/>
      <c r="AO5" s="475"/>
      <c r="AP5" s="475"/>
      <c r="AQ5" s="475"/>
      <c r="AR5" s="39"/>
      <c r="AS5" s="20"/>
    </row>
    <row r="6" spans="1:45" ht="15.95" customHeight="1">
      <c r="A6" s="23"/>
      <c r="B6" s="49"/>
      <c r="C6" s="475"/>
      <c r="D6" s="475"/>
      <c r="E6" s="475"/>
      <c r="F6" s="475"/>
      <c r="G6" s="475"/>
      <c r="H6" s="475"/>
      <c r="I6" s="475"/>
      <c r="J6" s="475"/>
      <c r="K6" s="475"/>
      <c r="L6" s="475"/>
      <c r="M6" s="475"/>
      <c r="N6" s="475"/>
      <c r="O6" s="475"/>
      <c r="P6" s="475"/>
      <c r="Q6" s="475"/>
      <c r="R6" s="475"/>
      <c r="S6" s="475"/>
      <c r="T6" s="475"/>
      <c r="U6" s="475"/>
      <c r="V6" s="475"/>
      <c r="W6" s="475"/>
      <c r="X6" s="475"/>
      <c r="Y6" s="475"/>
      <c r="Z6" s="475"/>
      <c r="AA6" s="475"/>
      <c r="AB6" s="475"/>
      <c r="AC6" s="475"/>
      <c r="AD6" s="475"/>
      <c r="AE6" s="475"/>
      <c r="AF6" s="475"/>
      <c r="AG6" s="475"/>
      <c r="AH6" s="475"/>
      <c r="AI6" s="475"/>
      <c r="AJ6" s="475"/>
      <c r="AK6" s="475"/>
      <c r="AL6" s="475"/>
      <c r="AM6" s="475"/>
      <c r="AN6" s="475"/>
      <c r="AO6" s="475"/>
      <c r="AP6" s="475"/>
      <c r="AQ6" s="475"/>
      <c r="AR6" s="39"/>
      <c r="AS6" s="20"/>
    </row>
    <row r="7" spans="1:45" ht="15.95" customHeight="1">
      <c r="A7" s="23"/>
      <c r="B7" s="49"/>
      <c r="C7" s="475"/>
      <c r="D7" s="475"/>
      <c r="E7" s="475"/>
      <c r="F7" s="475"/>
      <c r="G7" s="475"/>
      <c r="H7" s="475"/>
      <c r="I7" s="475"/>
      <c r="J7" s="475"/>
      <c r="K7" s="475"/>
      <c r="L7" s="475"/>
      <c r="M7" s="475"/>
      <c r="N7" s="475"/>
      <c r="O7" s="475"/>
      <c r="P7" s="475"/>
      <c r="Q7" s="475"/>
      <c r="R7" s="475"/>
      <c r="S7" s="475"/>
      <c r="T7" s="475"/>
      <c r="U7" s="475"/>
      <c r="V7" s="475"/>
      <c r="W7" s="475"/>
      <c r="X7" s="475"/>
      <c r="Y7" s="475"/>
      <c r="Z7" s="475"/>
      <c r="AA7" s="475"/>
      <c r="AB7" s="475"/>
      <c r="AC7" s="475"/>
      <c r="AD7" s="475"/>
      <c r="AE7" s="475"/>
      <c r="AF7" s="475"/>
      <c r="AG7" s="475"/>
      <c r="AH7" s="475"/>
      <c r="AI7" s="475"/>
      <c r="AJ7" s="475"/>
      <c r="AK7" s="475"/>
      <c r="AL7" s="475"/>
      <c r="AM7" s="475"/>
      <c r="AN7" s="475"/>
      <c r="AO7" s="475"/>
      <c r="AP7" s="475"/>
      <c r="AQ7" s="475"/>
      <c r="AR7" s="39"/>
      <c r="AS7" s="20"/>
    </row>
    <row r="8" spans="1:45" ht="15.95" customHeight="1">
      <c r="A8" s="23"/>
      <c r="B8" s="49"/>
      <c r="C8" s="475"/>
      <c r="D8" s="475"/>
      <c r="E8" s="475"/>
      <c r="F8" s="475"/>
      <c r="G8" s="475"/>
      <c r="H8" s="475"/>
      <c r="I8" s="475"/>
      <c r="J8" s="475"/>
      <c r="K8" s="475"/>
      <c r="L8" s="475"/>
      <c r="M8" s="475"/>
      <c r="N8" s="475"/>
      <c r="O8" s="475"/>
      <c r="P8" s="475"/>
      <c r="Q8" s="475"/>
      <c r="R8" s="475"/>
      <c r="S8" s="475"/>
      <c r="T8" s="475"/>
      <c r="U8" s="475"/>
      <c r="V8" s="475"/>
      <c r="W8" s="475"/>
      <c r="X8" s="475"/>
      <c r="Y8" s="475"/>
      <c r="Z8" s="475"/>
      <c r="AA8" s="475"/>
      <c r="AB8" s="475"/>
      <c r="AC8" s="475"/>
      <c r="AD8" s="475"/>
      <c r="AE8" s="475"/>
      <c r="AF8" s="475"/>
      <c r="AG8" s="475"/>
      <c r="AH8" s="475"/>
      <c r="AI8" s="475"/>
      <c r="AJ8" s="475"/>
      <c r="AK8" s="475"/>
      <c r="AL8" s="475"/>
      <c r="AM8" s="475"/>
      <c r="AN8" s="475"/>
      <c r="AO8" s="475"/>
      <c r="AP8" s="475"/>
      <c r="AQ8" s="475"/>
      <c r="AR8" s="39"/>
      <c r="AS8" s="20"/>
    </row>
    <row r="9" spans="1:45" ht="11.1" customHeight="1">
      <c r="A9" s="23"/>
      <c r="B9" s="51"/>
      <c r="C9" s="70"/>
      <c r="D9" s="70"/>
      <c r="E9" s="70"/>
      <c r="F9" s="70"/>
      <c r="G9" s="70"/>
      <c r="H9" s="70"/>
      <c r="I9" s="70"/>
      <c r="J9" s="70"/>
      <c r="K9" s="70"/>
      <c r="L9" s="70"/>
      <c r="M9" s="70"/>
      <c r="N9" s="70"/>
      <c r="O9" s="70"/>
      <c r="P9" s="70"/>
      <c r="Q9" s="70"/>
      <c r="R9" s="70"/>
      <c r="S9" s="70"/>
      <c r="T9" s="70"/>
      <c r="U9" s="70"/>
      <c r="V9" s="70"/>
      <c r="W9" s="70"/>
      <c r="X9" s="70"/>
      <c r="Y9" s="70"/>
      <c r="Z9" s="70"/>
      <c r="AA9" s="70"/>
      <c r="AB9" s="70"/>
      <c r="AC9" s="70"/>
      <c r="AD9" s="70"/>
      <c r="AE9" s="70"/>
      <c r="AF9" s="70"/>
      <c r="AG9" s="70"/>
      <c r="AH9" s="70"/>
      <c r="AI9" s="70"/>
      <c r="AJ9" s="70"/>
      <c r="AK9" s="70"/>
      <c r="AL9" s="70"/>
      <c r="AM9" s="70"/>
      <c r="AN9" s="70"/>
      <c r="AO9" s="70"/>
      <c r="AP9" s="70"/>
      <c r="AQ9" s="70"/>
      <c r="AR9" s="52"/>
      <c r="AS9" s="20"/>
    </row>
    <row r="10" spans="1:45" ht="20.100000000000001" customHeight="1">
      <c r="A10" s="23"/>
      <c r="B10" s="49">
        <v>58</v>
      </c>
      <c r="C10" s="38" t="str">
        <f>HLOOKUP($B$1,e!$A$1:$Z$243,B10,FALSE)</f>
        <v>Diagrama del Grupo Saludable</v>
      </c>
      <c r="D10" s="36"/>
      <c r="E10" s="36"/>
      <c r="F10" s="36"/>
      <c r="G10" s="36"/>
      <c r="H10" s="36"/>
      <c r="I10" s="36"/>
      <c r="J10" s="36"/>
      <c r="K10" s="36"/>
      <c r="L10" s="36"/>
      <c r="M10" s="36"/>
      <c r="N10" s="36"/>
      <c r="O10" s="36"/>
      <c r="P10" s="10"/>
      <c r="Q10" s="10"/>
      <c r="R10" s="10"/>
      <c r="S10" s="36"/>
      <c r="T10" s="26">
        <v>59</v>
      </c>
      <c r="U10" s="30" t="str">
        <f>HLOOKUP($B$1,e!$A$1:$Z$243,T10,FALSE)</f>
        <v>(sección 1)</v>
      </c>
      <c r="V10" s="36"/>
      <c r="W10" s="36"/>
      <c r="X10" s="36"/>
      <c r="Y10" s="36"/>
      <c r="Z10" s="36"/>
      <c r="AA10" s="36"/>
      <c r="AB10" s="36"/>
      <c r="AC10" s="36"/>
      <c r="AD10" s="36"/>
      <c r="AE10" s="36"/>
      <c r="AF10" s="36"/>
      <c r="AG10" s="36"/>
      <c r="AH10" s="36"/>
      <c r="AI10" s="36"/>
      <c r="AJ10" s="36"/>
      <c r="AK10" s="36"/>
      <c r="AL10" s="36"/>
      <c r="AM10" s="10"/>
      <c r="AN10" s="10"/>
      <c r="AO10" s="36"/>
      <c r="AP10" s="36"/>
      <c r="AQ10" s="36"/>
      <c r="AR10" s="39"/>
      <c r="AS10" s="20"/>
    </row>
    <row r="11" spans="1:45" ht="9.9499999999999993" customHeight="1">
      <c r="A11" s="23"/>
      <c r="B11" s="11"/>
      <c r="C11" s="10"/>
      <c r="D11" s="16"/>
      <c r="E11" s="16"/>
      <c r="F11" s="10"/>
      <c r="G11" s="10"/>
      <c r="H11" s="26"/>
      <c r="I11" s="30"/>
      <c r="J11" s="10"/>
      <c r="K11" s="10"/>
      <c r="L11" s="10"/>
      <c r="M11" s="16"/>
      <c r="N11" s="16"/>
      <c r="O11" s="16"/>
      <c r="P11" s="16"/>
      <c r="Q11" s="16"/>
      <c r="R11" s="16"/>
      <c r="S11" s="16"/>
      <c r="T11" s="16"/>
      <c r="U11" s="16"/>
      <c r="V11" s="16"/>
      <c r="W11" s="16"/>
      <c r="X11" s="16"/>
      <c r="Y11" s="16"/>
      <c r="Z11" s="16"/>
      <c r="AA11" s="16"/>
      <c r="AB11" s="16"/>
      <c r="AC11" s="16"/>
      <c r="AD11" s="16"/>
      <c r="AE11" s="15"/>
      <c r="AF11" s="16"/>
      <c r="AG11" s="16"/>
      <c r="AH11" s="16"/>
      <c r="AI11" s="16"/>
      <c r="AJ11" s="16"/>
      <c r="AK11" s="16"/>
      <c r="AL11" s="16"/>
      <c r="AM11" s="16"/>
      <c r="AN11" s="16"/>
      <c r="AO11" s="1"/>
      <c r="AP11" s="16"/>
      <c r="AQ11" s="16"/>
      <c r="AR11" s="39"/>
      <c r="AS11" s="20"/>
    </row>
    <row r="12" spans="1:45" ht="18" customHeight="1">
      <c r="A12" s="23"/>
      <c r="B12" s="49">
        <v>60</v>
      </c>
      <c r="C12" s="37" t="str">
        <f>HLOOKUP($B$1,e!$A$1:$Z$243,B12,FALSE)</f>
        <v>Métricas del grupo</v>
      </c>
      <c r="D12" s="16"/>
      <c r="E12" s="16"/>
      <c r="F12" s="10"/>
      <c r="G12" s="10"/>
      <c r="H12" s="26"/>
      <c r="I12" s="30"/>
      <c r="J12" s="10"/>
      <c r="K12" s="10"/>
      <c r="L12" s="10"/>
      <c r="M12" s="16"/>
      <c r="N12" s="16"/>
      <c r="O12" s="16"/>
      <c r="P12" s="16"/>
      <c r="Q12" s="16"/>
      <c r="R12" s="16"/>
      <c r="S12" s="16"/>
      <c r="T12" s="16"/>
      <c r="U12" s="16"/>
      <c r="V12" s="16"/>
      <c r="W12" s="16"/>
      <c r="X12" s="16"/>
      <c r="Y12" s="16"/>
      <c r="Z12" s="16"/>
      <c r="AA12" s="16"/>
      <c r="AB12" s="16"/>
      <c r="AC12" s="16"/>
      <c r="AD12" s="16"/>
      <c r="AE12" s="15"/>
      <c r="AF12" s="16"/>
      <c r="AG12" s="16"/>
      <c r="AH12" s="16"/>
      <c r="AI12" s="16"/>
      <c r="AJ12" s="16"/>
      <c r="AK12" s="16"/>
      <c r="AL12" s="16"/>
      <c r="AM12" s="16"/>
      <c r="AN12" s="16"/>
      <c r="AO12" s="1"/>
      <c r="AP12" s="16"/>
      <c r="AQ12" s="16"/>
      <c r="AR12" s="39"/>
      <c r="AS12" s="20"/>
    </row>
    <row r="13" spans="1:45" ht="15" customHeight="1">
      <c r="A13" s="23"/>
      <c r="B13" s="49">
        <v>61</v>
      </c>
      <c r="C13" s="40" t="str">
        <f>HLOOKUP($B$1,e!$A$1:$Z$243,B13,FALSE)</f>
        <v>En la primera fila de casillas, registre el número de cada categoría en la casilla debajo de cada símbolo.</v>
      </c>
      <c r="D13" s="16"/>
      <c r="E13" s="16"/>
      <c r="F13" s="10"/>
      <c r="G13" s="10"/>
      <c r="H13" s="26"/>
      <c r="I13" s="30"/>
      <c r="J13" s="10"/>
      <c r="K13" s="10"/>
      <c r="L13" s="10"/>
      <c r="M13" s="16"/>
      <c r="N13" s="16"/>
      <c r="O13" s="16"/>
      <c r="P13" s="16"/>
      <c r="Q13" s="16"/>
      <c r="R13" s="16"/>
      <c r="S13" s="16"/>
      <c r="T13" s="16"/>
      <c r="U13" s="16"/>
      <c r="V13" s="16"/>
      <c r="W13" s="16"/>
      <c r="X13" s="16"/>
      <c r="Y13" s="16"/>
      <c r="Z13" s="16"/>
      <c r="AA13" s="16"/>
      <c r="AB13" s="16"/>
      <c r="AC13" s="16"/>
      <c r="AD13" s="16"/>
      <c r="AE13" s="15"/>
      <c r="AF13" s="16"/>
      <c r="AG13" s="16"/>
      <c r="AH13" s="16"/>
      <c r="AI13" s="16"/>
      <c r="AJ13" s="16"/>
      <c r="AK13" s="16"/>
      <c r="AL13" s="16"/>
      <c r="AM13" s="16"/>
      <c r="AN13" s="16"/>
      <c r="AO13" s="1"/>
      <c r="AP13" s="16"/>
      <c r="AQ13" s="16"/>
      <c r="AR13" s="39"/>
      <c r="AS13" s="20"/>
    </row>
    <row r="14" spans="1:45" ht="9.9499999999999993" customHeight="1">
      <c r="A14" s="23"/>
      <c r="B14" s="49"/>
      <c r="C14" s="1"/>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39"/>
      <c r="AS14" s="21"/>
    </row>
    <row r="15" spans="1:45" ht="9.9499999999999993" customHeight="1">
      <c r="A15" s="23"/>
      <c r="B15" s="49"/>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3"/>
      <c r="AS15" s="20"/>
    </row>
    <row r="16" spans="1:45" ht="9.9499999999999993" customHeight="1">
      <c r="A16" s="23"/>
      <c r="B16" s="49"/>
      <c r="C16" s="1"/>
      <c r="D16" s="26">
        <v>62</v>
      </c>
      <c r="E16" s="1"/>
      <c r="F16" s="1"/>
      <c r="G16" s="1"/>
      <c r="H16" s="1"/>
      <c r="I16" s="1"/>
      <c r="J16" s="1"/>
      <c r="K16" s="1"/>
      <c r="L16" s="26">
        <v>63</v>
      </c>
      <c r="M16" s="1"/>
      <c r="N16" s="1"/>
      <c r="O16" s="1"/>
      <c r="P16" s="1"/>
      <c r="Q16" s="1"/>
      <c r="R16" s="1"/>
      <c r="S16" s="1"/>
      <c r="T16" s="26">
        <v>64</v>
      </c>
      <c r="U16" s="1"/>
      <c r="V16" s="1"/>
      <c r="W16" s="1"/>
      <c r="X16" s="1"/>
      <c r="Y16" s="1"/>
      <c r="Z16" s="1"/>
      <c r="AA16" s="1"/>
      <c r="AB16" s="26">
        <v>65</v>
      </c>
      <c r="AC16" s="1"/>
      <c r="AD16" s="1"/>
      <c r="AE16" s="1"/>
      <c r="AF16" s="1"/>
      <c r="AG16" s="1"/>
      <c r="AH16" s="1"/>
      <c r="AI16" s="1"/>
      <c r="AJ16" s="26">
        <v>66</v>
      </c>
      <c r="AK16" s="1"/>
      <c r="AL16" s="1"/>
      <c r="AM16" s="1"/>
      <c r="AN16" s="1"/>
      <c r="AO16" s="1"/>
      <c r="AP16" s="1"/>
      <c r="AQ16" s="1"/>
      <c r="AR16" s="3"/>
      <c r="AS16" s="20"/>
    </row>
    <row r="17" spans="1:45" ht="9.9499999999999993" customHeight="1">
      <c r="A17" s="23"/>
      <c r="B17" s="49"/>
      <c r="C17" s="1"/>
      <c r="D17" s="473" t="str">
        <f>HLOOKUP($B$1,e!$A$1:$Z$243,D16,FALSE)</f>
        <v>Asistencia del grupo</v>
      </c>
      <c r="E17" s="473"/>
      <c r="F17" s="473"/>
      <c r="G17" s="473"/>
      <c r="H17" s="473"/>
      <c r="I17" s="473"/>
      <c r="J17" s="473"/>
      <c r="K17" s="64"/>
      <c r="L17" s="473" t="str">
        <f>HLOOKUP($B$1,e!$A$1:$Z$243,L16,FALSE)</f>
        <v>Total de creyentes en el grupo</v>
      </c>
      <c r="M17" s="473"/>
      <c r="N17" s="473"/>
      <c r="O17" s="473"/>
      <c r="P17" s="473"/>
      <c r="Q17" s="473"/>
      <c r="R17" s="473"/>
      <c r="S17" s="64"/>
      <c r="T17" s="473" t="str">
        <f>HLOOKUP($B$1,e!$A$1:$Z$243,T16,FALSE)</f>
        <v>Nuevos creyentes en el grupo en este período</v>
      </c>
      <c r="U17" s="473"/>
      <c r="V17" s="473"/>
      <c r="W17" s="473"/>
      <c r="X17" s="473"/>
      <c r="Y17" s="473"/>
      <c r="Z17" s="473"/>
      <c r="AA17" s="64"/>
      <c r="AB17" s="473" t="str">
        <f>HLOOKUP($B$1,e!$A$1:$Z$243,AB16,FALSE)</f>
        <v>Total de bautizados en el grupo.</v>
      </c>
      <c r="AC17" s="473"/>
      <c r="AD17" s="473"/>
      <c r="AE17" s="473"/>
      <c r="AF17" s="473"/>
      <c r="AG17" s="473"/>
      <c r="AH17" s="473"/>
      <c r="AI17" s="64"/>
      <c r="AJ17" s="473" t="str">
        <f>HLOOKUP($B$1,e!$A$1:$Z$243,AJ16,FALSE)</f>
        <v>Nuevos bautizados en el grupo en este período.</v>
      </c>
      <c r="AK17" s="473"/>
      <c r="AL17" s="473"/>
      <c r="AM17" s="473"/>
      <c r="AN17" s="473"/>
      <c r="AO17" s="473"/>
      <c r="AP17" s="473"/>
      <c r="AQ17" s="41"/>
      <c r="AR17" s="3"/>
      <c r="AS17" s="20"/>
    </row>
    <row r="18" spans="1:45" ht="9.9499999999999993" customHeight="1">
      <c r="A18" s="23"/>
      <c r="B18" s="49"/>
      <c r="C18" s="1"/>
      <c r="D18" s="473"/>
      <c r="E18" s="473"/>
      <c r="F18" s="473"/>
      <c r="G18" s="473"/>
      <c r="H18" s="473"/>
      <c r="I18" s="473"/>
      <c r="J18" s="473"/>
      <c r="K18" s="64"/>
      <c r="L18" s="473"/>
      <c r="M18" s="473"/>
      <c r="N18" s="473"/>
      <c r="O18" s="473"/>
      <c r="P18" s="473"/>
      <c r="Q18" s="473"/>
      <c r="R18" s="473"/>
      <c r="S18" s="64"/>
      <c r="T18" s="473"/>
      <c r="U18" s="473"/>
      <c r="V18" s="473"/>
      <c r="W18" s="473"/>
      <c r="X18" s="473"/>
      <c r="Y18" s="473"/>
      <c r="Z18" s="473"/>
      <c r="AA18" s="64"/>
      <c r="AB18" s="473"/>
      <c r="AC18" s="473"/>
      <c r="AD18" s="473"/>
      <c r="AE18" s="473"/>
      <c r="AF18" s="473"/>
      <c r="AG18" s="473"/>
      <c r="AH18" s="473"/>
      <c r="AI18" s="64"/>
      <c r="AJ18" s="473"/>
      <c r="AK18" s="473"/>
      <c r="AL18" s="473"/>
      <c r="AM18" s="473"/>
      <c r="AN18" s="473"/>
      <c r="AO18" s="473"/>
      <c r="AP18" s="473"/>
      <c r="AQ18" s="41"/>
      <c r="AR18" s="3"/>
      <c r="AS18" s="20"/>
    </row>
    <row r="19" spans="1:45" ht="9.9499999999999993" customHeight="1">
      <c r="A19" s="23"/>
      <c r="B19" s="49"/>
      <c r="C19" s="1"/>
      <c r="D19" s="473"/>
      <c r="E19" s="473"/>
      <c r="F19" s="473"/>
      <c r="G19" s="473"/>
      <c r="H19" s="473"/>
      <c r="I19" s="473"/>
      <c r="J19" s="473"/>
      <c r="K19" s="59"/>
      <c r="L19" s="473"/>
      <c r="M19" s="473"/>
      <c r="N19" s="473"/>
      <c r="O19" s="473"/>
      <c r="P19" s="473"/>
      <c r="Q19" s="473"/>
      <c r="R19" s="473"/>
      <c r="S19" s="59"/>
      <c r="T19" s="473"/>
      <c r="U19" s="473"/>
      <c r="V19" s="473"/>
      <c r="W19" s="473"/>
      <c r="X19" s="473"/>
      <c r="Y19" s="473"/>
      <c r="Z19" s="473"/>
      <c r="AA19" s="59"/>
      <c r="AB19" s="473"/>
      <c r="AC19" s="473"/>
      <c r="AD19" s="473"/>
      <c r="AE19" s="473"/>
      <c r="AF19" s="473"/>
      <c r="AG19" s="473"/>
      <c r="AH19" s="473"/>
      <c r="AI19" s="59"/>
      <c r="AJ19" s="473"/>
      <c r="AK19" s="473"/>
      <c r="AL19" s="473"/>
      <c r="AM19" s="473"/>
      <c r="AN19" s="473"/>
      <c r="AO19" s="473"/>
      <c r="AP19" s="473"/>
      <c r="AQ19" s="1"/>
      <c r="AR19" s="3"/>
      <c r="AS19" s="20"/>
    </row>
    <row r="20" spans="1:45" ht="9.9499999999999993" customHeight="1">
      <c r="A20" s="23"/>
      <c r="B20" s="49"/>
      <c r="C20" s="1"/>
      <c r="D20" s="473"/>
      <c r="E20" s="473"/>
      <c r="F20" s="473"/>
      <c r="G20" s="473"/>
      <c r="H20" s="473"/>
      <c r="I20" s="473"/>
      <c r="J20" s="473"/>
      <c r="K20" s="59"/>
      <c r="L20" s="473"/>
      <c r="M20" s="473"/>
      <c r="N20" s="473"/>
      <c r="O20" s="473"/>
      <c r="P20" s="473"/>
      <c r="Q20" s="473"/>
      <c r="R20" s="473"/>
      <c r="S20" s="59"/>
      <c r="T20" s="473"/>
      <c r="U20" s="473"/>
      <c r="V20" s="473"/>
      <c r="W20" s="473"/>
      <c r="X20" s="473"/>
      <c r="Y20" s="473"/>
      <c r="Z20" s="473"/>
      <c r="AA20" s="59"/>
      <c r="AB20" s="473"/>
      <c r="AC20" s="473"/>
      <c r="AD20" s="473"/>
      <c r="AE20" s="473"/>
      <c r="AF20" s="473"/>
      <c r="AG20" s="473"/>
      <c r="AH20" s="473"/>
      <c r="AI20" s="59"/>
      <c r="AJ20" s="473"/>
      <c r="AK20" s="473"/>
      <c r="AL20" s="473"/>
      <c r="AM20" s="473"/>
      <c r="AN20" s="473"/>
      <c r="AO20" s="473"/>
      <c r="AP20" s="473"/>
      <c r="AQ20" s="1"/>
      <c r="AR20" s="3"/>
      <c r="AS20" s="20"/>
    </row>
    <row r="21" spans="1:45" ht="9.9499999999999993" customHeight="1">
      <c r="A21" s="23"/>
      <c r="B21" s="49"/>
      <c r="C21" s="1"/>
      <c r="D21" s="42"/>
      <c r="E21" s="42"/>
      <c r="F21" s="42"/>
      <c r="G21" s="42"/>
      <c r="H21" s="42"/>
      <c r="I21" s="42"/>
      <c r="J21" s="42"/>
      <c r="K21" s="1"/>
      <c r="L21" s="42"/>
      <c r="M21" s="42"/>
      <c r="N21" s="42"/>
      <c r="O21" s="42"/>
      <c r="P21" s="42"/>
      <c r="Q21" s="42"/>
      <c r="R21" s="42"/>
      <c r="S21" s="1"/>
      <c r="T21" s="42"/>
      <c r="U21" s="42"/>
      <c r="V21" s="42"/>
      <c r="W21" s="42"/>
      <c r="X21" s="42"/>
      <c r="Y21" s="42"/>
      <c r="Z21" s="42"/>
      <c r="AA21" s="1"/>
      <c r="AB21" s="42"/>
      <c r="AC21" s="42"/>
      <c r="AD21" s="42"/>
      <c r="AE21" s="42"/>
      <c r="AF21" s="42"/>
      <c r="AG21" s="42"/>
      <c r="AH21" s="42"/>
      <c r="AI21" s="1"/>
      <c r="AJ21" s="42"/>
      <c r="AK21" s="42"/>
      <c r="AL21" s="42"/>
      <c r="AM21" s="42"/>
      <c r="AN21" s="42"/>
      <c r="AO21" s="42"/>
      <c r="AP21" s="42"/>
      <c r="AQ21" s="1"/>
      <c r="AR21" s="3"/>
      <c r="AS21" s="20"/>
    </row>
    <row r="22" spans="1:45" ht="15" customHeight="1">
      <c r="A22" s="23"/>
      <c r="B22" s="49">
        <v>68</v>
      </c>
      <c r="C22" s="467" t="str">
        <f>HLOOKUP($B$1,e!$A$1:$Z$243,B22,FALSE)</f>
        <v>En el caso de que su grupo esté usando categorías definidas personalizadas, utilice la segunda fila de casillas. Registre cada categoría encima del número asignado en la casilla .</v>
      </c>
      <c r="D22" s="467"/>
      <c r="E22" s="467"/>
      <c r="F22" s="467"/>
      <c r="G22" s="467"/>
      <c r="H22" s="467"/>
      <c r="I22" s="467"/>
      <c r="J22" s="467"/>
      <c r="K22" s="467"/>
      <c r="L22" s="467"/>
      <c r="M22" s="467"/>
      <c r="N22" s="467"/>
      <c r="O22" s="467"/>
      <c r="P22" s="467"/>
      <c r="Q22" s="467"/>
      <c r="R22" s="467"/>
      <c r="S22" s="467"/>
      <c r="T22" s="467"/>
      <c r="U22" s="467"/>
      <c r="V22" s="467"/>
      <c r="W22" s="467"/>
      <c r="X22" s="467"/>
      <c r="Y22" s="467"/>
      <c r="Z22" s="467"/>
      <c r="AA22" s="467"/>
      <c r="AB22" s="467"/>
      <c r="AC22" s="467"/>
      <c r="AD22" s="467"/>
      <c r="AE22" s="467"/>
      <c r="AF22" s="467"/>
      <c r="AG22" s="467"/>
      <c r="AH22" s="467"/>
      <c r="AI22" s="467"/>
      <c r="AJ22" s="467"/>
      <c r="AK22" s="467"/>
      <c r="AL22" s="467"/>
      <c r="AM22" s="467"/>
      <c r="AN22" s="467"/>
      <c r="AO22" s="467"/>
      <c r="AP22" s="467"/>
      <c r="AQ22" s="467"/>
      <c r="AR22" s="39"/>
      <c r="AS22" s="20"/>
    </row>
    <row r="23" spans="1:45" ht="15" customHeight="1">
      <c r="A23" s="23"/>
      <c r="B23" s="2"/>
      <c r="C23" s="467"/>
      <c r="D23" s="467"/>
      <c r="E23" s="467"/>
      <c r="F23" s="467"/>
      <c r="G23" s="467"/>
      <c r="H23" s="467"/>
      <c r="I23" s="467"/>
      <c r="J23" s="467"/>
      <c r="K23" s="467"/>
      <c r="L23" s="467"/>
      <c r="M23" s="467"/>
      <c r="N23" s="467"/>
      <c r="O23" s="467"/>
      <c r="P23" s="467"/>
      <c r="Q23" s="467"/>
      <c r="R23" s="467"/>
      <c r="S23" s="467"/>
      <c r="T23" s="467"/>
      <c r="U23" s="467"/>
      <c r="V23" s="467"/>
      <c r="W23" s="467"/>
      <c r="X23" s="467"/>
      <c r="Y23" s="467"/>
      <c r="Z23" s="467"/>
      <c r="AA23" s="467"/>
      <c r="AB23" s="467"/>
      <c r="AC23" s="467"/>
      <c r="AD23" s="467"/>
      <c r="AE23" s="467"/>
      <c r="AF23" s="467"/>
      <c r="AG23" s="467"/>
      <c r="AH23" s="467"/>
      <c r="AI23" s="467"/>
      <c r="AJ23" s="467"/>
      <c r="AK23" s="467"/>
      <c r="AL23" s="467"/>
      <c r="AM23" s="467"/>
      <c r="AN23" s="467"/>
      <c r="AO23" s="467"/>
      <c r="AP23" s="467"/>
      <c r="AQ23" s="467"/>
      <c r="AR23" s="39"/>
      <c r="AS23" s="20"/>
    </row>
    <row r="24" spans="1:45" ht="15" customHeight="1">
      <c r="A24" s="23"/>
      <c r="B24" s="2"/>
      <c r="C24" s="467"/>
      <c r="D24" s="467"/>
      <c r="E24" s="467"/>
      <c r="F24" s="467"/>
      <c r="G24" s="467"/>
      <c r="H24" s="467"/>
      <c r="I24" s="467"/>
      <c r="J24" s="467"/>
      <c r="K24" s="467"/>
      <c r="L24" s="467"/>
      <c r="M24" s="467"/>
      <c r="N24" s="467"/>
      <c r="O24" s="467"/>
      <c r="P24" s="467"/>
      <c r="Q24" s="467"/>
      <c r="R24" s="467"/>
      <c r="S24" s="467"/>
      <c r="T24" s="467"/>
      <c r="U24" s="467"/>
      <c r="V24" s="467"/>
      <c r="W24" s="467"/>
      <c r="X24" s="467"/>
      <c r="Y24" s="467"/>
      <c r="Z24" s="467"/>
      <c r="AA24" s="467"/>
      <c r="AB24" s="467"/>
      <c r="AC24" s="467"/>
      <c r="AD24" s="467"/>
      <c r="AE24" s="467"/>
      <c r="AF24" s="467"/>
      <c r="AG24" s="467"/>
      <c r="AH24" s="467"/>
      <c r="AI24" s="467"/>
      <c r="AJ24" s="467"/>
      <c r="AK24" s="467"/>
      <c r="AL24" s="467"/>
      <c r="AM24" s="467"/>
      <c r="AN24" s="467"/>
      <c r="AO24" s="467"/>
      <c r="AP24" s="467"/>
      <c r="AQ24" s="467"/>
      <c r="AR24" s="39"/>
      <c r="AS24" s="20"/>
    </row>
    <row r="25" spans="1:45" ht="18" customHeight="1">
      <c r="A25" s="23"/>
      <c r="B25" s="49">
        <v>70</v>
      </c>
      <c r="C25" s="37" t="str">
        <f>HLOOKUP($B$1,e!$A$1:$Z$243,B25,FALSE)</f>
        <v>Funciones del grupo</v>
      </c>
      <c r="D25" s="1"/>
      <c r="E25" s="1"/>
      <c r="F25" s="1"/>
      <c r="G25" s="1"/>
      <c r="H25" s="1"/>
      <c r="I25" s="1"/>
      <c r="J25" s="1"/>
      <c r="K25" s="1"/>
      <c r="L25" s="1"/>
      <c r="M25" s="1"/>
      <c r="N25" s="1"/>
      <c r="O25" s="1"/>
      <c r="P25" s="1"/>
      <c r="Q25" s="1"/>
      <c r="R25" s="1"/>
      <c r="S25" s="1"/>
      <c r="T25" s="1"/>
      <c r="U25" s="1"/>
      <c r="V25" s="1"/>
      <c r="W25" s="1"/>
      <c r="X25" s="1"/>
      <c r="Y25" s="1"/>
      <c r="Z25" s="1"/>
      <c r="AA25" s="1"/>
      <c r="AB25" s="1"/>
      <c r="AC25" s="16"/>
      <c r="AD25" s="16"/>
      <c r="AE25" s="15"/>
      <c r="AF25" s="16"/>
      <c r="AG25" s="16"/>
      <c r="AH25" s="16"/>
      <c r="AI25" s="5"/>
      <c r="AJ25" s="5"/>
      <c r="AK25" s="15">
        <v>18</v>
      </c>
      <c r="AL25" s="468" t="str">
        <f>HLOOKUP($B$1,e!$A$1:$Z$55,AK25,FALSE)</f>
        <v>Oración</v>
      </c>
      <c r="AM25" s="468"/>
      <c r="AN25" s="468"/>
      <c r="AO25" s="468"/>
      <c r="AP25" s="468"/>
      <c r="AQ25" s="468"/>
      <c r="AR25" s="6"/>
      <c r="AS25" s="20"/>
    </row>
    <row r="26" spans="1:45" ht="18" customHeight="1">
      <c r="A26" s="23"/>
      <c r="B26" s="60">
        <v>71</v>
      </c>
      <c r="C26" s="40" t="str">
        <f>HLOOKUP($B$1,e!$A$1:$Z$243,B26,FALSE)</f>
        <v>Trace el círculo mayor.</v>
      </c>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15"/>
      <c r="AI26" s="5"/>
      <c r="AJ26" s="5"/>
      <c r="AK26" s="5"/>
      <c r="AL26" s="468"/>
      <c r="AM26" s="468"/>
      <c r="AN26" s="468"/>
      <c r="AO26" s="468"/>
      <c r="AP26" s="468"/>
      <c r="AQ26" s="468"/>
      <c r="AR26" s="6"/>
      <c r="AS26" s="20"/>
    </row>
    <row r="27" spans="1:45" ht="18" customHeight="1">
      <c r="A27" s="23"/>
      <c r="B27" s="60">
        <v>72</v>
      </c>
      <c r="C27" s="184">
        <v>4</v>
      </c>
      <c r="D27" s="40" t="str">
        <f>HLOOKUP($B$1,e!$A$1:$Z$243,B27,FALSE)</f>
        <v>Use una línea sólida si el grupo se ha comprometido como una iglesia.</v>
      </c>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15"/>
      <c r="AI27" s="5"/>
      <c r="AJ27" s="5"/>
      <c r="AK27" s="15">
        <v>19</v>
      </c>
      <c r="AL27" s="468" t="str">
        <f>HLOOKUP($B$1,e!$A$1:$Z$55,AK27,FALSE)</f>
        <v>Compañerismo</v>
      </c>
      <c r="AM27" s="468"/>
      <c r="AN27" s="468"/>
      <c r="AO27" s="468"/>
      <c r="AP27" s="468"/>
      <c r="AQ27" s="468"/>
      <c r="AR27" s="6"/>
      <c r="AS27" s="20"/>
    </row>
    <row r="28" spans="1:45" ht="18" customHeight="1">
      <c r="A28" s="23"/>
      <c r="B28" s="60">
        <v>73</v>
      </c>
      <c r="C28" s="184">
        <v>3</v>
      </c>
      <c r="D28" s="40" t="str">
        <f>HLOOKUP($B$1,e!$A$1:$Z$243,B28,FALSE)</f>
        <v>Deje la línea discontinua si el grupo no se ha comprometido como una iglesia.</v>
      </c>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15"/>
      <c r="AI28" s="5"/>
      <c r="AJ28" s="5"/>
      <c r="AK28" s="5"/>
      <c r="AL28" s="468"/>
      <c r="AM28" s="468"/>
      <c r="AN28" s="468"/>
      <c r="AO28" s="468"/>
      <c r="AP28" s="468"/>
      <c r="AQ28" s="468"/>
      <c r="AR28" s="6"/>
      <c r="AS28" s="20"/>
    </row>
    <row r="29" spans="1:45" ht="18" customHeight="1">
      <c r="A29" s="23"/>
      <c r="B29" s="61"/>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15"/>
      <c r="AI29" s="5"/>
      <c r="AJ29" s="5"/>
      <c r="AK29" s="15">
        <v>20</v>
      </c>
      <c r="AL29" s="468" t="str">
        <f>HLOOKUP($B$1,e!$A$1:$Z$55,AK29,FALSE)</f>
        <v>Adoración</v>
      </c>
      <c r="AM29" s="468"/>
      <c r="AN29" s="468"/>
      <c r="AO29" s="468"/>
      <c r="AP29" s="468"/>
      <c r="AQ29" s="468"/>
      <c r="AR29" s="6"/>
      <c r="AS29" s="20"/>
    </row>
    <row r="30" spans="1:45" ht="18" customHeight="1">
      <c r="A30" s="23"/>
      <c r="B30" s="60">
        <v>75</v>
      </c>
      <c r="C30" s="40" t="str">
        <f>HLOOKUP($B$1,e!$A$1:$Z$243,B30,FALSE)</f>
        <v>Circule uno de los símbolos para cada función.</v>
      </c>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15"/>
      <c r="AI30" s="5"/>
      <c r="AJ30" s="5"/>
      <c r="AK30" s="5"/>
      <c r="AL30" s="468"/>
      <c r="AM30" s="468"/>
      <c r="AN30" s="468"/>
      <c r="AO30" s="468"/>
      <c r="AP30" s="468"/>
      <c r="AQ30" s="468"/>
      <c r="AR30" s="6"/>
      <c r="AS30" s="20"/>
    </row>
    <row r="31" spans="1:45" ht="18" customHeight="1">
      <c r="A31" s="23"/>
      <c r="B31" s="60">
        <v>76</v>
      </c>
      <c r="C31" s="185">
        <v>4</v>
      </c>
      <c r="D31" s="467" t="str">
        <f>HLOOKUP($B$1,e!$A$1:$Z$243,B31,FALSE)</f>
        <v>Circule con una línea continua el símbolo que está dentro del círculo mayor, si los miembros del grupo participan regularmente en una función sin ayuda externa.</v>
      </c>
      <c r="E31" s="467"/>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15"/>
      <c r="AI31" s="5"/>
      <c r="AJ31" s="5"/>
      <c r="AK31" s="15">
        <v>21</v>
      </c>
      <c r="AL31" s="468" t="str">
        <f>HLOOKUP($B$1,e!$A$1:$Z$55,AK31,FALSE)</f>
        <v>Aplicar la biblia</v>
      </c>
      <c r="AM31" s="468"/>
      <c r="AN31" s="468"/>
      <c r="AO31" s="468"/>
      <c r="AP31" s="468"/>
      <c r="AQ31" s="468"/>
      <c r="AR31" s="6"/>
      <c r="AS31" s="20"/>
    </row>
    <row r="32" spans="1:45" ht="18" customHeight="1">
      <c r="A32" s="23"/>
      <c r="B32" s="61"/>
      <c r="C32" s="186"/>
      <c r="D32" s="467"/>
      <c r="E32" s="467"/>
      <c r="F32" s="467"/>
      <c r="G32" s="467"/>
      <c r="H32" s="467"/>
      <c r="I32" s="467"/>
      <c r="J32" s="467"/>
      <c r="K32" s="467"/>
      <c r="L32" s="467"/>
      <c r="M32" s="467"/>
      <c r="N32" s="467"/>
      <c r="O32" s="467"/>
      <c r="P32" s="467"/>
      <c r="Q32" s="467"/>
      <c r="R32" s="467"/>
      <c r="S32" s="467"/>
      <c r="T32" s="467"/>
      <c r="U32" s="467"/>
      <c r="V32" s="467"/>
      <c r="W32" s="467"/>
      <c r="X32" s="467"/>
      <c r="Y32" s="467"/>
      <c r="Z32" s="467"/>
      <c r="AA32" s="467"/>
      <c r="AB32" s="467"/>
      <c r="AC32" s="467"/>
      <c r="AD32" s="467"/>
      <c r="AE32" s="467"/>
      <c r="AF32" s="467"/>
      <c r="AG32" s="467"/>
      <c r="AH32" s="15"/>
      <c r="AI32" s="5"/>
      <c r="AJ32" s="5"/>
      <c r="AK32" s="5"/>
      <c r="AL32" s="468"/>
      <c r="AM32" s="468"/>
      <c r="AN32" s="468"/>
      <c r="AO32" s="468"/>
      <c r="AP32" s="468"/>
      <c r="AQ32" s="468"/>
      <c r="AR32" s="6"/>
      <c r="AS32" s="20"/>
    </row>
    <row r="33" spans="1:45" ht="18" customHeight="1">
      <c r="A33" s="23"/>
      <c r="B33" s="62"/>
      <c r="C33" s="180"/>
      <c r="D33" s="467"/>
      <c r="E33" s="467"/>
      <c r="F33" s="467"/>
      <c r="G33" s="467"/>
      <c r="H33" s="467"/>
      <c r="I33" s="467"/>
      <c r="J33" s="467"/>
      <c r="K33" s="467"/>
      <c r="L33" s="467"/>
      <c r="M33" s="467"/>
      <c r="N33" s="467"/>
      <c r="O33" s="467"/>
      <c r="P33" s="467"/>
      <c r="Q33" s="467"/>
      <c r="R33" s="467"/>
      <c r="S33" s="467"/>
      <c r="T33" s="467"/>
      <c r="U33" s="467"/>
      <c r="V33" s="467"/>
      <c r="W33" s="467"/>
      <c r="X33" s="467"/>
      <c r="Y33" s="467"/>
      <c r="Z33" s="467"/>
      <c r="AA33" s="467"/>
      <c r="AB33" s="467"/>
      <c r="AC33" s="467"/>
      <c r="AD33" s="467"/>
      <c r="AE33" s="467"/>
      <c r="AF33" s="467"/>
      <c r="AG33" s="467"/>
      <c r="AH33" s="15"/>
      <c r="AI33" s="5"/>
      <c r="AJ33" s="5"/>
      <c r="AK33" s="15">
        <v>22</v>
      </c>
      <c r="AL33" s="468" t="str">
        <f>HLOOKUP($B$1,e!$A$1:$Z$55,AK33,FALSE)</f>
        <v>Evangelizar</v>
      </c>
      <c r="AM33" s="468"/>
      <c r="AN33" s="468"/>
      <c r="AO33" s="468"/>
      <c r="AP33" s="468"/>
      <c r="AQ33" s="468"/>
      <c r="AR33" s="6"/>
      <c r="AS33" s="20"/>
    </row>
    <row r="34" spans="1:45" ht="18" customHeight="1">
      <c r="A34" s="23"/>
      <c r="B34" s="60">
        <v>77</v>
      </c>
      <c r="C34" s="185">
        <v>3</v>
      </c>
      <c r="D34" s="467" t="str">
        <f>HLOOKUP($B$1,e!$A$1:$Z$243,B34,FALSE)</f>
        <v>Circule el símbolo con una línea discontinua para las funciones en cuyo desarrollo está trabajando, o que puede ser capaz de realizar, pero que en realidad no realizó en este período de tiempo en particular.</v>
      </c>
      <c r="E34" s="467"/>
      <c r="F34" s="467"/>
      <c r="G34" s="467"/>
      <c r="H34" s="467"/>
      <c r="I34" s="467"/>
      <c r="J34" s="467"/>
      <c r="K34" s="467"/>
      <c r="L34" s="467"/>
      <c r="M34" s="467"/>
      <c r="N34" s="467"/>
      <c r="O34" s="467"/>
      <c r="P34" s="467"/>
      <c r="Q34" s="467"/>
      <c r="R34" s="467"/>
      <c r="S34" s="467"/>
      <c r="T34" s="467"/>
      <c r="U34" s="467"/>
      <c r="V34" s="467"/>
      <c r="W34" s="467"/>
      <c r="X34" s="467"/>
      <c r="Y34" s="467"/>
      <c r="Z34" s="467"/>
      <c r="AA34" s="467"/>
      <c r="AB34" s="467"/>
      <c r="AC34" s="467"/>
      <c r="AD34" s="467"/>
      <c r="AE34" s="467"/>
      <c r="AF34" s="467"/>
      <c r="AG34" s="467"/>
      <c r="AH34" s="15"/>
      <c r="AI34" s="5"/>
      <c r="AJ34" s="5"/>
      <c r="AK34" s="5"/>
      <c r="AL34" s="468"/>
      <c r="AM34" s="468"/>
      <c r="AN34" s="468"/>
      <c r="AO34" s="468"/>
      <c r="AP34" s="468"/>
      <c r="AQ34" s="468"/>
      <c r="AR34" s="6"/>
      <c r="AS34" s="20"/>
    </row>
    <row r="35" spans="1:45" ht="18" customHeight="1">
      <c r="A35" s="23"/>
      <c r="B35" s="61"/>
      <c r="C35" s="186"/>
      <c r="D35" s="467"/>
      <c r="E35" s="467"/>
      <c r="F35" s="467"/>
      <c r="G35" s="467"/>
      <c r="H35" s="467"/>
      <c r="I35" s="467"/>
      <c r="J35" s="467"/>
      <c r="K35" s="467"/>
      <c r="L35" s="467"/>
      <c r="M35" s="467"/>
      <c r="N35" s="467"/>
      <c r="O35" s="467"/>
      <c r="P35" s="467"/>
      <c r="Q35" s="467"/>
      <c r="R35" s="467"/>
      <c r="S35" s="467"/>
      <c r="T35" s="467"/>
      <c r="U35" s="467"/>
      <c r="V35" s="467"/>
      <c r="W35" s="467"/>
      <c r="X35" s="467"/>
      <c r="Y35" s="467"/>
      <c r="Z35" s="467"/>
      <c r="AA35" s="467"/>
      <c r="AB35" s="467"/>
      <c r="AC35" s="467"/>
      <c r="AD35" s="467"/>
      <c r="AE35" s="467"/>
      <c r="AF35" s="467"/>
      <c r="AG35" s="467"/>
      <c r="AH35" s="15"/>
      <c r="AI35" s="10"/>
      <c r="AJ35" s="5"/>
      <c r="AK35" s="15">
        <v>23</v>
      </c>
      <c r="AL35" s="468" t="str">
        <f>HLOOKUP($B$1,e!$A$1:$Z$55,AK35,FALSE)</f>
        <v>La Santa Cena</v>
      </c>
      <c r="AM35" s="468"/>
      <c r="AN35" s="468"/>
      <c r="AO35" s="468"/>
      <c r="AP35" s="468"/>
      <c r="AQ35" s="468"/>
      <c r="AR35" s="6"/>
      <c r="AS35" s="20"/>
    </row>
    <row r="36" spans="1:45" ht="18" customHeight="1">
      <c r="A36" s="23"/>
      <c r="B36" s="62"/>
      <c r="C36" s="180"/>
      <c r="D36" s="467"/>
      <c r="E36" s="467"/>
      <c r="F36" s="467"/>
      <c r="G36" s="467"/>
      <c r="H36" s="467"/>
      <c r="I36" s="467"/>
      <c r="J36" s="467"/>
      <c r="K36" s="467"/>
      <c r="L36" s="467"/>
      <c r="M36" s="467"/>
      <c r="N36" s="467"/>
      <c r="O36" s="467"/>
      <c r="P36" s="467"/>
      <c r="Q36" s="467"/>
      <c r="R36" s="467"/>
      <c r="S36" s="467"/>
      <c r="T36" s="467"/>
      <c r="U36" s="467"/>
      <c r="V36" s="467"/>
      <c r="W36" s="467"/>
      <c r="X36" s="467"/>
      <c r="Y36" s="467"/>
      <c r="Z36" s="467"/>
      <c r="AA36" s="467"/>
      <c r="AB36" s="467"/>
      <c r="AC36" s="467"/>
      <c r="AD36" s="467"/>
      <c r="AE36" s="467"/>
      <c r="AF36" s="467"/>
      <c r="AG36" s="467"/>
      <c r="AH36" s="10"/>
      <c r="AI36" s="5"/>
      <c r="AJ36" s="5"/>
      <c r="AK36" s="5"/>
      <c r="AL36" s="468"/>
      <c r="AM36" s="468"/>
      <c r="AN36" s="468"/>
      <c r="AO36" s="468"/>
      <c r="AP36" s="468"/>
      <c r="AQ36" s="468"/>
      <c r="AR36" s="6"/>
      <c r="AS36" s="20"/>
    </row>
    <row r="37" spans="1:45" ht="18" customHeight="1">
      <c r="A37" s="23"/>
      <c r="B37" s="60">
        <v>78</v>
      </c>
      <c r="C37" s="185">
        <v>2</v>
      </c>
      <c r="D37" s="467" t="str">
        <f>HLOOKUP($B$1,e!$A$1:$Z$243,B37,FALSE)</f>
        <v>Circule el símbolo fuera del círculo mayor si el grupo no participa por sí solo, pero sí tiene otra forma de participar en esta función.</v>
      </c>
      <c r="E37" s="467"/>
      <c r="F37" s="467"/>
      <c r="G37" s="467"/>
      <c r="H37" s="467"/>
      <c r="I37" s="467"/>
      <c r="J37" s="467"/>
      <c r="K37" s="467"/>
      <c r="L37" s="467"/>
      <c r="M37" s="467"/>
      <c r="N37" s="467"/>
      <c r="O37" s="467"/>
      <c r="P37" s="467"/>
      <c r="Q37" s="467"/>
      <c r="R37" s="467"/>
      <c r="S37" s="467"/>
      <c r="T37" s="467"/>
      <c r="U37" s="467"/>
      <c r="V37" s="467"/>
      <c r="W37" s="467"/>
      <c r="X37" s="467"/>
      <c r="Y37" s="467"/>
      <c r="Z37" s="467"/>
      <c r="AA37" s="467"/>
      <c r="AB37" s="467"/>
      <c r="AC37" s="467"/>
      <c r="AD37" s="467"/>
      <c r="AE37" s="467"/>
      <c r="AF37" s="467"/>
      <c r="AG37" s="467"/>
      <c r="AH37" s="15"/>
      <c r="AI37" s="5"/>
      <c r="AJ37" s="5"/>
      <c r="AK37" s="15">
        <v>24</v>
      </c>
      <c r="AL37" s="468" t="str">
        <f>HLOOKUP($B$1,e!$A$1:$Z$55,AK37,FALSE)</f>
        <v>Dar</v>
      </c>
      <c r="AM37" s="468"/>
      <c r="AN37" s="468"/>
      <c r="AO37" s="468"/>
      <c r="AP37" s="468"/>
      <c r="AQ37" s="468"/>
      <c r="AR37" s="6"/>
      <c r="AS37" s="20"/>
    </row>
    <row r="38" spans="1:45" ht="18" customHeight="1">
      <c r="A38" s="23"/>
      <c r="B38" s="61"/>
      <c r="C38" s="186"/>
      <c r="D38" s="467"/>
      <c r="E38" s="467"/>
      <c r="F38" s="467"/>
      <c r="G38" s="467"/>
      <c r="H38" s="467"/>
      <c r="I38" s="467"/>
      <c r="J38" s="467"/>
      <c r="K38" s="467"/>
      <c r="L38" s="467"/>
      <c r="M38" s="467"/>
      <c r="N38" s="467"/>
      <c r="O38" s="467"/>
      <c r="P38" s="467"/>
      <c r="Q38" s="467"/>
      <c r="R38" s="467"/>
      <c r="S38" s="467"/>
      <c r="T38" s="467"/>
      <c r="U38" s="467"/>
      <c r="V38" s="467"/>
      <c r="W38" s="467"/>
      <c r="X38" s="467"/>
      <c r="Y38" s="467"/>
      <c r="Z38" s="467"/>
      <c r="AA38" s="467"/>
      <c r="AB38" s="467"/>
      <c r="AC38" s="467"/>
      <c r="AD38" s="467"/>
      <c r="AE38" s="467"/>
      <c r="AF38" s="467"/>
      <c r="AG38" s="467"/>
      <c r="AH38" s="15"/>
      <c r="AI38" s="5"/>
      <c r="AJ38" s="5"/>
      <c r="AK38" s="5"/>
      <c r="AL38" s="468"/>
      <c r="AM38" s="468"/>
      <c r="AN38" s="468"/>
      <c r="AO38" s="468"/>
      <c r="AP38" s="468"/>
      <c r="AQ38" s="468"/>
      <c r="AR38" s="6"/>
      <c r="AS38" s="20"/>
    </row>
    <row r="39" spans="1:45" ht="18" customHeight="1">
      <c r="A39" s="23"/>
      <c r="B39" s="61"/>
      <c r="C39" s="181"/>
      <c r="D39" s="467"/>
      <c r="E39" s="467"/>
      <c r="F39" s="467"/>
      <c r="G39" s="467"/>
      <c r="H39" s="467"/>
      <c r="I39" s="467"/>
      <c r="J39" s="467"/>
      <c r="K39" s="467"/>
      <c r="L39" s="467"/>
      <c r="M39" s="467"/>
      <c r="N39" s="467"/>
      <c r="O39" s="467"/>
      <c r="P39" s="467"/>
      <c r="Q39" s="467"/>
      <c r="R39" s="467"/>
      <c r="S39" s="467"/>
      <c r="T39" s="467"/>
      <c r="U39" s="467"/>
      <c r="V39" s="467"/>
      <c r="W39" s="467"/>
      <c r="X39" s="467"/>
      <c r="Y39" s="467"/>
      <c r="Z39" s="467"/>
      <c r="AA39" s="467"/>
      <c r="AB39" s="467"/>
      <c r="AC39" s="467"/>
      <c r="AD39" s="467"/>
      <c r="AE39" s="467"/>
      <c r="AF39" s="467"/>
      <c r="AG39" s="467"/>
      <c r="AH39" s="15"/>
      <c r="AI39" s="5"/>
      <c r="AJ39" s="5"/>
      <c r="AK39" s="15">
        <v>25</v>
      </c>
      <c r="AL39" s="468" t="str">
        <f>HLOOKUP($B$1,e!$A$1:$Z$55,AK39,FALSE)</f>
        <v>Bautizar</v>
      </c>
      <c r="AM39" s="468"/>
      <c r="AN39" s="468"/>
      <c r="AO39" s="468"/>
      <c r="AP39" s="468"/>
      <c r="AQ39" s="468"/>
      <c r="AR39" s="6"/>
      <c r="AS39" s="20"/>
    </row>
    <row r="40" spans="1:45" ht="18" customHeight="1">
      <c r="A40" s="23"/>
      <c r="B40" s="60">
        <v>79</v>
      </c>
      <c r="C40" s="185">
        <v>1</v>
      </c>
      <c r="D40" s="467" t="str">
        <f>HLOOKUP($B$1,e!$A$1:$Z$243,B40,FALSE)</f>
        <v>No circule el símbolo si los miembros del grupo no tienen una forma habitual de participar en esta función.</v>
      </c>
      <c r="E40" s="467"/>
      <c r="F40" s="467"/>
      <c r="G40" s="467"/>
      <c r="H40" s="467"/>
      <c r="I40" s="467"/>
      <c r="J40" s="467"/>
      <c r="K40" s="467"/>
      <c r="L40" s="467"/>
      <c r="M40" s="467"/>
      <c r="N40" s="467"/>
      <c r="O40" s="467"/>
      <c r="P40" s="467"/>
      <c r="Q40" s="467"/>
      <c r="R40" s="467"/>
      <c r="S40" s="467"/>
      <c r="T40" s="467"/>
      <c r="U40" s="467"/>
      <c r="V40" s="467"/>
      <c r="W40" s="467"/>
      <c r="X40" s="467"/>
      <c r="Y40" s="467"/>
      <c r="Z40" s="467"/>
      <c r="AA40" s="467"/>
      <c r="AB40" s="467"/>
      <c r="AC40" s="467"/>
      <c r="AD40" s="467"/>
      <c r="AE40" s="467"/>
      <c r="AF40" s="467"/>
      <c r="AG40" s="467"/>
      <c r="AH40" s="15"/>
      <c r="AI40" s="5"/>
      <c r="AJ40" s="5"/>
      <c r="AK40" s="5"/>
      <c r="AL40" s="468"/>
      <c r="AM40" s="468"/>
      <c r="AN40" s="468"/>
      <c r="AO40" s="468"/>
      <c r="AP40" s="468"/>
      <c r="AQ40" s="468"/>
      <c r="AR40" s="6"/>
      <c r="AS40" s="20"/>
    </row>
    <row r="41" spans="1:45" ht="18" customHeight="1">
      <c r="A41" s="23"/>
      <c r="B41" s="61"/>
      <c r="C41" s="186"/>
      <c r="D41" s="467"/>
      <c r="E41" s="467"/>
      <c r="F41" s="467"/>
      <c r="G41" s="467"/>
      <c r="H41" s="467"/>
      <c r="I41" s="467"/>
      <c r="J41" s="467"/>
      <c r="K41" s="467"/>
      <c r="L41" s="467"/>
      <c r="M41" s="467"/>
      <c r="N41" s="467"/>
      <c r="O41" s="467"/>
      <c r="P41" s="467"/>
      <c r="Q41" s="467"/>
      <c r="R41" s="467"/>
      <c r="S41" s="467"/>
      <c r="T41" s="467"/>
      <c r="U41" s="467"/>
      <c r="V41" s="467"/>
      <c r="W41" s="467"/>
      <c r="X41" s="467"/>
      <c r="Y41" s="467"/>
      <c r="Z41" s="467"/>
      <c r="AA41" s="467"/>
      <c r="AB41" s="467"/>
      <c r="AC41" s="467"/>
      <c r="AD41" s="467"/>
      <c r="AE41" s="467"/>
      <c r="AF41" s="467"/>
      <c r="AG41" s="467"/>
      <c r="AH41" s="15"/>
      <c r="AI41" s="10"/>
      <c r="AJ41" s="5"/>
      <c r="AK41" s="15">
        <v>26</v>
      </c>
      <c r="AL41" s="468" t="str">
        <f>HLOOKUP($B$1,e!$A$1:$Z$55,AK41,FALSE)</f>
        <v>Trabajadores</v>
      </c>
      <c r="AM41" s="468"/>
      <c r="AN41" s="468"/>
      <c r="AO41" s="468"/>
      <c r="AP41" s="468"/>
      <c r="AQ41" s="468"/>
      <c r="AR41" s="6"/>
      <c r="AS41" s="20"/>
    </row>
    <row r="42" spans="1:45" ht="18" customHeight="1">
      <c r="A42" s="23"/>
      <c r="B42" s="49">
        <v>81</v>
      </c>
      <c r="C42" s="37" t="str">
        <f>HLOOKUP($B$1,e!$A$1:$Z$243,B42,FALSE)</f>
        <v>Información del grupo</v>
      </c>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5"/>
      <c r="AI42" s="5"/>
      <c r="AJ42" s="5"/>
      <c r="AK42" s="5"/>
      <c r="AL42" s="468"/>
      <c r="AM42" s="468"/>
      <c r="AN42" s="468"/>
      <c r="AO42" s="468"/>
      <c r="AP42" s="468"/>
      <c r="AQ42" s="468"/>
      <c r="AR42" s="6"/>
      <c r="AS42" s="20"/>
    </row>
    <row r="43" spans="1:45" ht="15" customHeight="1">
      <c r="A43" s="23"/>
      <c r="B43" s="49">
        <v>82</v>
      </c>
      <c r="C43" s="467" t="str">
        <f>HLOOKUP($B$1,e!$A$1:$Z$243,B43,FALSE)</f>
        <v>Rellene las casillas en la parte inferior de esta sección como se le pide. La precisión en la información para referencias futuras. También muestra la conexión de este grupo con otros. Esta información se puede completar antes de la sesión de entrenamiento.</v>
      </c>
      <c r="D43" s="467"/>
      <c r="E43" s="467"/>
      <c r="F43" s="467"/>
      <c r="G43" s="467"/>
      <c r="H43" s="467"/>
      <c r="I43" s="467"/>
      <c r="J43" s="467"/>
      <c r="K43" s="467"/>
      <c r="L43" s="467"/>
      <c r="M43" s="467"/>
      <c r="N43" s="467"/>
      <c r="O43" s="467"/>
      <c r="P43" s="467"/>
      <c r="Q43" s="467"/>
      <c r="R43" s="467"/>
      <c r="S43" s="467"/>
      <c r="T43" s="467"/>
      <c r="U43" s="467"/>
      <c r="V43" s="467"/>
      <c r="W43" s="467"/>
      <c r="X43" s="467"/>
      <c r="Y43" s="467"/>
      <c r="Z43" s="467"/>
      <c r="AA43" s="467"/>
      <c r="AB43" s="467"/>
      <c r="AC43" s="467"/>
      <c r="AD43" s="467"/>
      <c r="AE43" s="467"/>
      <c r="AF43" s="467"/>
      <c r="AG43" s="467"/>
      <c r="AH43" s="467"/>
      <c r="AI43" s="467"/>
      <c r="AJ43" s="467"/>
      <c r="AK43" s="467"/>
      <c r="AL43" s="467"/>
      <c r="AM43" s="467"/>
      <c r="AN43" s="467"/>
      <c r="AO43" s="467"/>
      <c r="AP43" s="467"/>
      <c r="AQ43" s="467"/>
      <c r="AR43" s="6"/>
      <c r="AS43" s="20"/>
    </row>
    <row r="44" spans="1:45" ht="15" customHeight="1">
      <c r="A44" s="23"/>
      <c r="B44" s="49">
        <v>81</v>
      </c>
      <c r="C44" s="467"/>
      <c r="D44" s="467"/>
      <c r="E44" s="467"/>
      <c r="F44" s="467"/>
      <c r="G44" s="467"/>
      <c r="H44" s="467"/>
      <c r="I44" s="467"/>
      <c r="J44" s="467"/>
      <c r="K44" s="467"/>
      <c r="L44" s="467"/>
      <c r="M44" s="467"/>
      <c r="N44" s="467"/>
      <c r="O44" s="467"/>
      <c r="P44" s="467"/>
      <c r="Q44" s="467"/>
      <c r="R44" s="467"/>
      <c r="S44" s="467"/>
      <c r="T44" s="467"/>
      <c r="U44" s="467"/>
      <c r="V44" s="467"/>
      <c r="W44" s="467"/>
      <c r="X44" s="467"/>
      <c r="Y44" s="467"/>
      <c r="Z44" s="467"/>
      <c r="AA44" s="467"/>
      <c r="AB44" s="467"/>
      <c r="AC44" s="467"/>
      <c r="AD44" s="467"/>
      <c r="AE44" s="467"/>
      <c r="AF44" s="467"/>
      <c r="AG44" s="467"/>
      <c r="AH44" s="467"/>
      <c r="AI44" s="467"/>
      <c r="AJ44" s="467"/>
      <c r="AK44" s="467"/>
      <c r="AL44" s="467"/>
      <c r="AM44" s="467"/>
      <c r="AN44" s="467"/>
      <c r="AO44" s="467"/>
      <c r="AP44" s="467"/>
      <c r="AQ44" s="467"/>
      <c r="AR44" s="6"/>
      <c r="AS44" s="20"/>
    </row>
    <row r="45" spans="1:45" ht="15" customHeight="1">
      <c r="A45" s="23"/>
      <c r="B45" s="49"/>
      <c r="C45" s="467"/>
      <c r="D45" s="467"/>
      <c r="E45" s="467"/>
      <c r="F45" s="467"/>
      <c r="G45" s="467"/>
      <c r="H45" s="467"/>
      <c r="I45" s="467"/>
      <c r="J45" s="467"/>
      <c r="K45" s="467"/>
      <c r="L45" s="467"/>
      <c r="M45" s="467"/>
      <c r="N45" s="467"/>
      <c r="O45" s="467"/>
      <c r="P45" s="467"/>
      <c r="Q45" s="467"/>
      <c r="R45" s="467"/>
      <c r="S45" s="467"/>
      <c r="T45" s="467"/>
      <c r="U45" s="467"/>
      <c r="V45" s="467"/>
      <c r="W45" s="467"/>
      <c r="X45" s="467"/>
      <c r="Y45" s="467"/>
      <c r="Z45" s="467"/>
      <c r="AA45" s="467"/>
      <c r="AB45" s="467"/>
      <c r="AC45" s="467"/>
      <c r="AD45" s="467"/>
      <c r="AE45" s="467"/>
      <c r="AF45" s="467"/>
      <c r="AG45" s="467"/>
      <c r="AH45" s="467"/>
      <c r="AI45" s="467"/>
      <c r="AJ45" s="467"/>
      <c r="AK45" s="467"/>
      <c r="AL45" s="467"/>
      <c r="AM45" s="467"/>
      <c r="AN45" s="467"/>
      <c r="AO45" s="467"/>
      <c r="AP45" s="467"/>
      <c r="AQ45" s="467"/>
      <c r="AR45" s="6"/>
      <c r="AS45" s="20"/>
    </row>
    <row r="46" spans="1:45" ht="18" customHeight="1">
      <c r="A46" s="23"/>
      <c r="B46" s="49">
        <v>36</v>
      </c>
      <c r="C46" s="37" t="str">
        <f>HLOOKUP($B$1,e!$A$1:$Z$243,B46,FALSE)</f>
        <v>fechas</v>
      </c>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6"/>
      <c r="AS46" s="20"/>
    </row>
    <row r="47" spans="1:45" ht="15" customHeight="1">
      <c r="A47" s="23"/>
      <c r="B47" s="49">
        <v>37</v>
      </c>
      <c r="C47" s="467" t="str">
        <f>HLOOKUP($B$1,e!$A$1:$Z$243,B47,FALSE)</f>
        <v>Ingrese las fechas en las casillas etiquetadas "desde" y "hasta" (período de tiempo para los datos en el formulario) y "reunido" (fecha de la sesión de entrenamiento).</v>
      </c>
      <c r="D47" s="467"/>
      <c r="E47" s="467"/>
      <c r="F47" s="467"/>
      <c r="G47" s="467"/>
      <c r="H47" s="467"/>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6"/>
      <c r="AS47" s="20"/>
    </row>
    <row r="48" spans="1:45" ht="15" customHeight="1">
      <c r="A48" s="23"/>
      <c r="B48" s="49"/>
      <c r="C48" s="467"/>
      <c r="D48" s="467"/>
      <c r="E48" s="467"/>
      <c r="F48" s="467"/>
      <c r="G48" s="467"/>
      <c r="H48" s="467"/>
      <c r="I48" s="467"/>
      <c r="J48" s="467"/>
      <c r="K48" s="467"/>
      <c r="L48" s="467"/>
      <c r="M48" s="467"/>
      <c r="N48" s="467"/>
      <c r="O48" s="467"/>
      <c r="P48" s="467"/>
      <c r="Q48" s="467"/>
      <c r="R48" s="467"/>
      <c r="S48" s="467"/>
      <c r="T48" s="467"/>
      <c r="U48" s="467"/>
      <c r="V48" s="467"/>
      <c r="W48" s="467"/>
      <c r="X48" s="467"/>
      <c r="Y48" s="467"/>
      <c r="Z48" s="467"/>
      <c r="AA48" s="467"/>
      <c r="AB48" s="467"/>
      <c r="AC48" s="467"/>
      <c r="AD48" s="467"/>
      <c r="AE48" s="467"/>
      <c r="AF48" s="467"/>
      <c r="AG48" s="467"/>
      <c r="AH48" s="467"/>
      <c r="AI48" s="467"/>
      <c r="AJ48" s="467"/>
      <c r="AK48" s="467"/>
      <c r="AL48" s="467"/>
      <c r="AM48" s="467"/>
      <c r="AN48" s="467"/>
      <c r="AO48" s="467"/>
      <c r="AP48" s="467"/>
      <c r="AQ48" s="467"/>
      <c r="AR48" s="6"/>
      <c r="AS48" s="20"/>
    </row>
    <row r="49" spans="1:45" ht="15" customHeight="1">
      <c r="A49" s="23"/>
      <c r="B49" s="49">
        <v>40</v>
      </c>
      <c r="C49" s="81" t="str">
        <f>HLOOKUP($B$1,e!$A$1:$Z$243,B49,FALSE)</f>
        <v>carné de identidad</v>
      </c>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79"/>
      <c r="AJ49" s="79"/>
      <c r="AK49" s="79"/>
      <c r="AL49" s="79"/>
      <c r="AM49" s="79"/>
      <c r="AN49" s="79"/>
      <c r="AO49" s="79"/>
      <c r="AP49" s="79"/>
      <c r="AQ49" s="79"/>
      <c r="AR49" s="6"/>
      <c r="AS49" s="20"/>
    </row>
    <row r="50" spans="1:45" ht="15" customHeight="1">
      <c r="A50" s="23"/>
      <c r="B50" s="49">
        <v>41</v>
      </c>
      <c r="C50" s="467" t="str">
        <f>HLOOKUP($B$1,e!$A$1:$Z$243,B50,FALSE)</f>
        <v>Ingrese el número de identificación único o el código asignado al grupo.</v>
      </c>
      <c r="D50" s="467"/>
      <c r="E50" s="467"/>
      <c r="F50" s="467"/>
      <c r="G50" s="467"/>
      <c r="H50" s="467"/>
      <c r="I50" s="467"/>
      <c r="J50" s="467"/>
      <c r="K50" s="467"/>
      <c r="L50" s="467"/>
      <c r="M50" s="467"/>
      <c r="N50" s="467"/>
      <c r="O50" s="467"/>
      <c r="P50" s="467"/>
      <c r="Q50" s="467"/>
      <c r="R50" s="467"/>
      <c r="S50" s="467"/>
      <c r="T50" s="467"/>
      <c r="U50" s="467"/>
      <c r="V50" s="467"/>
      <c r="W50" s="467"/>
      <c r="X50" s="467"/>
      <c r="Y50" s="467"/>
      <c r="Z50" s="467"/>
      <c r="AA50" s="467"/>
      <c r="AB50" s="467"/>
      <c r="AC50" s="467"/>
      <c r="AD50" s="467"/>
      <c r="AE50" s="467"/>
      <c r="AF50" s="467"/>
      <c r="AG50" s="467"/>
      <c r="AH50" s="467"/>
      <c r="AI50" s="467"/>
      <c r="AJ50" s="467"/>
      <c r="AK50" s="467"/>
      <c r="AL50" s="467"/>
      <c r="AM50" s="467"/>
      <c r="AN50" s="467"/>
      <c r="AO50" s="467"/>
      <c r="AP50" s="467"/>
      <c r="AQ50" s="467"/>
      <c r="AR50" s="6"/>
      <c r="AS50" s="20"/>
    </row>
    <row r="51" spans="1:45" ht="9.9499999999999993" customHeight="1">
      <c r="A51" s="23"/>
      <c r="B51" s="51"/>
      <c r="C51" s="68"/>
      <c r="D51" s="68"/>
      <c r="E51" s="68"/>
      <c r="F51" s="68"/>
      <c r="G51" s="68"/>
      <c r="H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46"/>
      <c r="AI51" s="7"/>
      <c r="AJ51" s="7"/>
      <c r="AK51" s="7"/>
      <c r="AL51" s="7"/>
      <c r="AM51" s="7"/>
      <c r="AN51" s="7"/>
      <c r="AO51" s="7"/>
      <c r="AP51" s="7"/>
      <c r="AQ51" s="7"/>
      <c r="AR51" s="45"/>
      <c r="AS51" s="20"/>
    </row>
    <row r="52" spans="1:45" ht="9.9499999999999993" customHeight="1">
      <c r="A52" s="23"/>
      <c r="B52" s="13"/>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44"/>
      <c r="AI52" s="4"/>
      <c r="AJ52" s="4"/>
      <c r="AK52" s="4"/>
      <c r="AL52" s="4"/>
      <c r="AM52" s="4"/>
      <c r="AN52" s="4"/>
      <c r="AO52" s="4"/>
      <c r="AP52" s="4"/>
      <c r="AQ52" s="4"/>
      <c r="AR52" s="27"/>
      <c r="AS52" s="20"/>
    </row>
    <row r="53" spans="1:45" ht="15.95" customHeight="1">
      <c r="A53" s="23"/>
      <c r="B53" s="49">
        <v>84</v>
      </c>
      <c r="C53" s="38" t="str">
        <f>HLOOKUP($B$1,e!$A$1:$Z$243,B53,FALSE)</f>
        <v>Detalles</v>
      </c>
      <c r="D53" s="36"/>
      <c r="E53" s="36"/>
      <c r="F53" s="36"/>
      <c r="G53" s="36"/>
      <c r="H53" s="36"/>
      <c r="I53" s="10"/>
      <c r="J53" s="10"/>
      <c r="K53" s="36"/>
      <c r="L53" s="36"/>
      <c r="M53" s="36"/>
      <c r="N53" s="36"/>
      <c r="O53" s="36"/>
      <c r="P53" s="10"/>
      <c r="Q53" s="26"/>
      <c r="R53" s="30"/>
      <c r="S53" s="36"/>
      <c r="T53" s="26">
        <v>85</v>
      </c>
      <c r="U53" s="30" t="str">
        <f>HLOOKUP($B$1,e!$A$1:$Z$243,T53,FALSE)</f>
        <v>(sección 2)</v>
      </c>
      <c r="V53" s="36"/>
      <c r="W53" s="36"/>
      <c r="X53" s="36"/>
      <c r="Y53" s="36"/>
      <c r="Z53" s="36"/>
      <c r="AA53" s="36"/>
      <c r="AB53" s="36"/>
      <c r="AC53" s="36"/>
      <c r="AD53" s="36"/>
      <c r="AE53" s="36"/>
      <c r="AF53" s="36"/>
      <c r="AG53" s="36"/>
      <c r="AH53" s="36"/>
      <c r="AI53" s="36"/>
      <c r="AJ53" s="36"/>
      <c r="AK53" s="36"/>
      <c r="AL53" s="36"/>
      <c r="AM53" s="10"/>
      <c r="AN53" s="10"/>
      <c r="AO53" s="36"/>
      <c r="AP53" s="36"/>
      <c r="AQ53" s="36"/>
      <c r="AR53" s="39"/>
      <c r="AS53" s="20"/>
    </row>
    <row r="54" spans="1:45" ht="15" customHeight="1">
      <c r="A54" s="23"/>
      <c r="B54" s="49">
        <v>86</v>
      </c>
      <c r="C54" s="467" t="str">
        <f>HLOOKUP($B$1,e!$A$1:$Z$243,B54,FALSE)</f>
        <v>Agregue notas en el espacio al lado del símbolo que proporcionen más detalles sobre esa función del grupo. Es posible que no necesite utilizar todos los espacios.</v>
      </c>
      <c r="D54" s="467"/>
      <c r="E54" s="467"/>
      <c r="F54" s="467"/>
      <c r="G54" s="467"/>
      <c r="H54" s="467"/>
      <c r="I54" s="467"/>
      <c r="J54" s="467"/>
      <c r="K54" s="467"/>
      <c r="L54" s="467"/>
      <c r="M54" s="467"/>
      <c r="N54" s="467"/>
      <c r="O54" s="467"/>
      <c r="P54" s="467"/>
      <c r="Q54" s="467"/>
      <c r="R54" s="467"/>
      <c r="S54" s="467"/>
      <c r="T54" s="467"/>
      <c r="U54" s="467"/>
      <c r="V54" s="467"/>
      <c r="W54" s="467"/>
      <c r="X54" s="467"/>
      <c r="Y54" s="467"/>
      <c r="Z54" s="467"/>
      <c r="AA54" s="467"/>
      <c r="AB54" s="467"/>
      <c r="AC54" s="467"/>
      <c r="AD54" s="467"/>
      <c r="AE54" s="467"/>
      <c r="AF54" s="467"/>
      <c r="AG54" s="467"/>
      <c r="AH54" s="467"/>
      <c r="AI54" s="467"/>
      <c r="AJ54" s="467"/>
      <c r="AK54" s="467"/>
      <c r="AL54" s="467"/>
      <c r="AM54" s="467"/>
      <c r="AN54" s="467"/>
      <c r="AO54" s="467"/>
      <c r="AP54" s="467"/>
      <c r="AQ54" s="467"/>
      <c r="AR54" s="6"/>
      <c r="AS54" s="20"/>
    </row>
    <row r="55" spans="1:45" ht="15" customHeight="1">
      <c r="A55" s="23"/>
      <c r="B55" s="2"/>
      <c r="C55" s="467"/>
      <c r="D55" s="467"/>
      <c r="E55" s="467"/>
      <c r="F55" s="467"/>
      <c r="G55" s="467"/>
      <c r="H55" s="467"/>
      <c r="I55" s="467"/>
      <c r="J55" s="467"/>
      <c r="K55" s="467"/>
      <c r="L55" s="467"/>
      <c r="M55" s="467"/>
      <c r="N55" s="467"/>
      <c r="O55" s="467"/>
      <c r="P55" s="467"/>
      <c r="Q55" s="467"/>
      <c r="R55" s="467"/>
      <c r="S55" s="467"/>
      <c r="T55" s="467"/>
      <c r="U55" s="467"/>
      <c r="V55" s="467"/>
      <c r="W55" s="467"/>
      <c r="X55" s="467"/>
      <c r="Y55" s="467"/>
      <c r="Z55" s="467"/>
      <c r="AA55" s="467"/>
      <c r="AB55" s="467"/>
      <c r="AC55" s="467"/>
      <c r="AD55" s="467"/>
      <c r="AE55" s="467"/>
      <c r="AF55" s="467"/>
      <c r="AG55" s="467"/>
      <c r="AH55" s="467"/>
      <c r="AI55" s="467"/>
      <c r="AJ55" s="467"/>
      <c r="AK55" s="467"/>
      <c r="AL55" s="467"/>
      <c r="AM55" s="467"/>
      <c r="AN55" s="467"/>
      <c r="AO55" s="467"/>
      <c r="AP55" s="467"/>
      <c r="AQ55" s="467"/>
      <c r="AR55" s="6"/>
      <c r="AS55" s="20"/>
    </row>
    <row r="56" spans="1:45" ht="15" customHeight="1">
      <c r="A56" s="23"/>
      <c r="B56" s="2"/>
      <c r="C56" s="74"/>
      <c r="D56" s="74"/>
      <c r="E56" s="74"/>
      <c r="F56" s="74"/>
      <c r="G56" s="74"/>
      <c r="H56" s="74"/>
      <c r="I56" s="74"/>
      <c r="J56" s="74"/>
      <c r="K56" s="74"/>
      <c r="L56" s="74"/>
      <c r="M56" s="74"/>
      <c r="N56" s="74"/>
      <c r="O56" s="74"/>
      <c r="P56" s="74"/>
      <c r="Q56" s="74"/>
      <c r="R56" s="74"/>
      <c r="S56" s="74"/>
      <c r="T56" s="74"/>
      <c r="U56" s="74"/>
      <c r="V56" s="74"/>
      <c r="W56" s="74"/>
      <c r="X56" s="74"/>
      <c r="Y56" s="74"/>
      <c r="Z56" s="74"/>
      <c r="AA56" s="74"/>
      <c r="AB56" s="74"/>
      <c r="AC56" s="74"/>
      <c r="AD56" s="74"/>
      <c r="AE56" s="74"/>
      <c r="AF56" s="74"/>
      <c r="AG56" s="74"/>
      <c r="AH56" s="15"/>
      <c r="AI56" s="5"/>
      <c r="AJ56" s="5"/>
      <c r="AK56" s="5"/>
      <c r="AL56" s="5"/>
      <c r="AM56" s="5"/>
      <c r="AN56" s="5"/>
      <c r="AO56" s="5"/>
      <c r="AP56" s="5"/>
      <c r="AQ56" s="5"/>
      <c r="AR56" s="6"/>
      <c r="AS56" s="20"/>
    </row>
    <row r="57" spans="1:45" ht="15" customHeight="1">
      <c r="A57" s="23"/>
      <c r="B57" s="49">
        <v>88</v>
      </c>
      <c r="C57" s="467" t="str">
        <f>HLOOKUP($B$1,e!$A$1:$Z$243,B57,FALSE)</f>
        <v>Los detalles sobre un desafío constante que enfrente un grupo se pueden colocar en la casilla "Otros detalles".</v>
      </c>
      <c r="D57" s="467"/>
      <c r="E57" s="467"/>
      <c r="F57" s="467"/>
      <c r="G57" s="467"/>
      <c r="H57" s="467"/>
      <c r="I57" s="467"/>
      <c r="J57" s="467"/>
      <c r="K57" s="467"/>
      <c r="L57" s="467"/>
      <c r="M57" s="467"/>
      <c r="N57" s="467"/>
      <c r="O57" s="467"/>
      <c r="P57" s="467"/>
      <c r="Q57" s="467"/>
      <c r="R57" s="467"/>
      <c r="S57" s="467"/>
      <c r="T57" s="467"/>
      <c r="U57" s="467"/>
      <c r="V57" s="467"/>
      <c r="W57" s="467"/>
      <c r="X57" s="467"/>
      <c r="Y57" s="467"/>
      <c r="Z57" s="467"/>
      <c r="AA57" s="467"/>
      <c r="AB57" s="467"/>
      <c r="AC57" s="467"/>
      <c r="AD57" s="467"/>
      <c r="AE57" s="467"/>
      <c r="AF57" s="467"/>
      <c r="AG57" s="467"/>
      <c r="AH57" s="467"/>
      <c r="AI57" s="467"/>
      <c r="AJ57" s="467"/>
      <c r="AK57" s="467"/>
      <c r="AL57" s="467"/>
      <c r="AM57" s="467"/>
      <c r="AN57" s="467"/>
      <c r="AO57" s="467"/>
      <c r="AP57" s="467"/>
      <c r="AQ57" s="467"/>
      <c r="AR57" s="6"/>
      <c r="AS57" s="20"/>
    </row>
    <row r="58" spans="1:45" ht="15" customHeight="1">
      <c r="A58" s="23"/>
      <c r="B58" s="2"/>
      <c r="C58" s="467"/>
      <c r="D58" s="467"/>
      <c r="E58" s="467"/>
      <c r="F58" s="467"/>
      <c r="G58" s="467"/>
      <c r="H58" s="467"/>
      <c r="I58" s="467"/>
      <c r="J58" s="467"/>
      <c r="K58" s="467"/>
      <c r="L58" s="467"/>
      <c r="M58" s="467"/>
      <c r="N58" s="467"/>
      <c r="O58" s="467"/>
      <c r="P58" s="467"/>
      <c r="Q58" s="467"/>
      <c r="R58" s="467"/>
      <c r="S58" s="467"/>
      <c r="T58" s="467"/>
      <c r="U58" s="467"/>
      <c r="V58" s="467"/>
      <c r="W58" s="467"/>
      <c r="X58" s="467"/>
      <c r="Y58" s="467"/>
      <c r="Z58" s="467"/>
      <c r="AA58" s="467"/>
      <c r="AB58" s="467"/>
      <c r="AC58" s="467"/>
      <c r="AD58" s="467"/>
      <c r="AE58" s="467"/>
      <c r="AF58" s="467"/>
      <c r="AG58" s="467"/>
      <c r="AH58" s="467"/>
      <c r="AI58" s="467"/>
      <c r="AJ58" s="467"/>
      <c r="AK58" s="467"/>
      <c r="AL58" s="467"/>
      <c r="AM58" s="467"/>
      <c r="AN58" s="467"/>
      <c r="AO58" s="467"/>
      <c r="AP58" s="467"/>
      <c r="AQ58" s="467"/>
      <c r="AR58" s="6"/>
      <c r="AS58" s="20"/>
    </row>
    <row r="59" spans="1:45" ht="12" customHeight="1">
      <c r="A59" s="23"/>
      <c r="B59" s="14"/>
      <c r="C59" s="68"/>
      <c r="D59" s="68"/>
      <c r="E59" s="68"/>
      <c r="F59" s="68"/>
      <c r="G59" s="68"/>
      <c r="H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46"/>
      <c r="AI59" s="7"/>
      <c r="AJ59" s="7"/>
      <c r="AK59" s="7"/>
      <c r="AL59" s="7"/>
      <c r="AM59" s="7"/>
      <c r="AN59" s="7"/>
      <c r="AO59" s="7"/>
      <c r="AP59" s="7"/>
      <c r="AQ59" s="7"/>
      <c r="AR59" s="45"/>
      <c r="AS59" s="20"/>
    </row>
    <row r="60" spans="1:45" ht="9.9499999999999993" customHeight="1">
      <c r="A60" s="23"/>
      <c r="B60" s="13"/>
      <c r="C60" s="53"/>
      <c r="D60" s="53"/>
      <c r="E60" s="53"/>
      <c r="F60" s="53"/>
      <c r="G60" s="53"/>
      <c r="H60" s="53"/>
      <c r="I60" s="53"/>
      <c r="J60" s="53"/>
      <c r="K60" s="53"/>
      <c r="L60" s="53"/>
      <c r="M60" s="53"/>
      <c r="N60" s="53"/>
      <c r="O60" s="53"/>
      <c r="P60" s="53"/>
      <c r="Q60" s="53"/>
      <c r="R60" s="53"/>
      <c r="S60" s="53"/>
      <c r="T60" s="53"/>
      <c r="U60" s="53"/>
      <c r="V60" s="53"/>
      <c r="W60" s="53"/>
      <c r="X60" s="53"/>
      <c r="Y60" s="53"/>
      <c r="Z60" s="53"/>
      <c r="AA60" s="53"/>
      <c r="AB60" s="53"/>
      <c r="AC60" s="53"/>
      <c r="AD60" s="53"/>
      <c r="AE60" s="53"/>
      <c r="AF60" s="53"/>
      <c r="AG60" s="53"/>
      <c r="AH60" s="44"/>
      <c r="AI60" s="4"/>
      <c r="AJ60" s="4"/>
      <c r="AK60" s="4"/>
      <c r="AL60" s="4"/>
      <c r="AM60" s="4"/>
      <c r="AN60" s="4"/>
      <c r="AO60" s="4"/>
      <c r="AP60" s="4"/>
      <c r="AQ60" s="4"/>
      <c r="AR60" s="27"/>
      <c r="AS60" s="20"/>
    </row>
    <row r="61" spans="1:45" ht="15.95" customHeight="1">
      <c r="A61" s="23"/>
      <c r="B61" s="49">
        <v>90</v>
      </c>
      <c r="C61" s="38" t="str">
        <f>HLOOKUP($B$1,e!$A$1:$Z$243,B61,FALSE)</f>
        <v>Metas</v>
      </c>
      <c r="D61" s="36"/>
      <c r="E61" s="36"/>
      <c r="F61" s="36"/>
      <c r="G61" s="36"/>
      <c r="H61" s="36"/>
      <c r="I61" s="10"/>
      <c r="J61" s="10"/>
      <c r="K61" s="67"/>
      <c r="L61" s="67"/>
      <c r="M61" s="67"/>
      <c r="N61" s="67"/>
      <c r="O61" s="67"/>
      <c r="P61" s="67"/>
      <c r="Q61" s="10"/>
      <c r="R61" s="10"/>
      <c r="S61" s="67"/>
      <c r="T61" s="26">
        <v>91</v>
      </c>
      <c r="U61" s="30" t="str">
        <f>HLOOKUP($B$1,e!$A$1:$Z$243,T61,FALSE)</f>
        <v>(sección 3)</v>
      </c>
      <c r="V61" s="67"/>
      <c r="W61" s="67"/>
      <c r="X61" s="67"/>
      <c r="Y61" s="67"/>
      <c r="Z61" s="67"/>
      <c r="AA61" s="67"/>
      <c r="AB61" s="67"/>
      <c r="AC61" s="67"/>
      <c r="AD61" s="67"/>
      <c r="AE61" s="67"/>
      <c r="AF61" s="67"/>
      <c r="AG61" s="67"/>
      <c r="AH61" s="15"/>
      <c r="AI61" s="5"/>
      <c r="AJ61" s="5"/>
      <c r="AK61" s="5"/>
      <c r="AL61" s="5"/>
      <c r="AM61" s="5"/>
      <c r="AN61" s="5"/>
      <c r="AO61" s="5"/>
      <c r="AP61" s="5"/>
      <c r="AQ61" s="5"/>
      <c r="AR61" s="6"/>
      <c r="AS61" s="20"/>
    </row>
    <row r="62" spans="1:45" ht="15" customHeight="1">
      <c r="A62" s="23"/>
      <c r="B62" s="49">
        <v>92</v>
      </c>
      <c r="C62" s="467" t="str">
        <f>HLOOKUP($B$1,e!$A$1:$Z$243,B62,FALSE)</f>
        <v>Escriba una o más metas bien establecidas en el cuadro superior.</v>
      </c>
      <c r="D62" s="467"/>
      <c r="E62" s="467"/>
      <c r="F62" s="467"/>
      <c r="G62" s="467"/>
      <c r="H62" s="467"/>
      <c r="I62" s="467"/>
      <c r="J62" s="467"/>
      <c r="K62" s="467"/>
      <c r="L62" s="467"/>
      <c r="M62" s="467"/>
      <c r="N62" s="467"/>
      <c r="O62" s="467"/>
      <c r="P62" s="467"/>
      <c r="Q62" s="467"/>
      <c r="R62" s="467"/>
      <c r="S62" s="467"/>
      <c r="T62" s="467"/>
      <c r="U62" s="467"/>
      <c r="V62" s="467"/>
      <c r="W62" s="467"/>
      <c r="X62" s="467"/>
      <c r="Y62" s="467"/>
      <c r="Z62" s="467"/>
      <c r="AA62" s="467"/>
      <c r="AB62" s="467"/>
      <c r="AC62" s="467"/>
      <c r="AD62" s="467"/>
      <c r="AE62" s="467"/>
      <c r="AF62" s="467"/>
      <c r="AG62" s="467"/>
      <c r="AH62" s="467"/>
      <c r="AI62" s="467"/>
      <c r="AJ62" s="467"/>
      <c r="AK62" s="467"/>
      <c r="AL62" s="467"/>
      <c r="AM62" s="467"/>
      <c r="AN62" s="467"/>
      <c r="AO62" s="467"/>
      <c r="AP62" s="467"/>
      <c r="AQ62" s="467"/>
      <c r="AR62" s="6"/>
      <c r="AS62" s="20"/>
    </row>
    <row r="63" spans="1:45" ht="15" customHeight="1">
      <c r="A63" s="23"/>
      <c r="B63" s="2"/>
      <c r="C63" s="467"/>
      <c r="D63" s="467"/>
      <c r="E63" s="467"/>
      <c r="F63" s="467"/>
      <c r="G63" s="467"/>
      <c r="H63" s="467"/>
      <c r="I63" s="467"/>
      <c r="J63" s="467"/>
      <c r="K63" s="467"/>
      <c r="L63" s="467"/>
      <c r="M63" s="467"/>
      <c r="N63" s="467"/>
      <c r="O63" s="467"/>
      <c r="P63" s="467"/>
      <c r="Q63" s="467"/>
      <c r="R63" s="467"/>
      <c r="S63" s="467"/>
      <c r="T63" s="467"/>
      <c r="U63" s="467"/>
      <c r="V63" s="467"/>
      <c r="W63" s="467"/>
      <c r="X63" s="467"/>
      <c r="Y63" s="467"/>
      <c r="Z63" s="467"/>
      <c r="AA63" s="467"/>
      <c r="AB63" s="467"/>
      <c r="AC63" s="467"/>
      <c r="AD63" s="467"/>
      <c r="AE63" s="467"/>
      <c r="AF63" s="467"/>
      <c r="AG63" s="467"/>
      <c r="AH63" s="467"/>
      <c r="AI63" s="467"/>
      <c r="AJ63" s="467"/>
      <c r="AK63" s="467"/>
      <c r="AL63" s="467"/>
      <c r="AM63" s="467"/>
      <c r="AN63" s="467"/>
      <c r="AO63" s="467"/>
      <c r="AP63" s="467"/>
      <c r="AQ63" s="467"/>
      <c r="AR63" s="6"/>
      <c r="AS63" s="20"/>
    </row>
    <row r="64" spans="1:45" ht="15" customHeight="1">
      <c r="A64" s="23"/>
      <c r="B64" s="49">
        <v>93</v>
      </c>
      <c r="C64" s="467" t="str">
        <f>HLOOKUP($B$1,e!$A$1:$Z$243,B64,FALSE)</f>
        <v>Haga una lista de pasos de acción en la columna izquierda.</v>
      </c>
      <c r="D64" s="467"/>
      <c r="E64" s="467"/>
      <c r="F64" s="467"/>
      <c r="G64" s="467"/>
      <c r="H64" s="467"/>
      <c r="I64" s="467"/>
      <c r="J64" s="467"/>
      <c r="K64" s="467"/>
      <c r="L64" s="467"/>
      <c r="M64" s="467"/>
      <c r="N64" s="467"/>
      <c r="O64" s="467"/>
      <c r="P64" s="467"/>
      <c r="Q64" s="467"/>
      <c r="R64" s="467"/>
      <c r="S64" s="467"/>
      <c r="T64" s="467"/>
      <c r="U64" s="467"/>
      <c r="V64" s="467"/>
      <c r="W64" s="467"/>
      <c r="X64" s="467"/>
      <c r="Y64" s="467"/>
      <c r="Z64" s="467"/>
      <c r="AA64" s="467"/>
      <c r="AB64" s="467"/>
      <c r="AC64" s="467"/>
      <c r="AD64" s="467"/>
      <c r="AE64" s="467"/>
      <c r="AF64" s="467"/>
      <c r="AG64" s="467"/>
      <c r="AH64" s="467"/>
      <c r="AI64" s="467"/>
      <c r="AJ64" s="467"/>
      <c r="AK64" s="467"/>
      <c r="AL64" s="467"/>
      <c r="AM64" s="467"/>
      <c r="AN64" s="467"/>
      <c r="AO64" s="467"/>
      <c r="AP64" s="467"/>
      <c r="AQ64" s="467"/>
      <c r="AR64" s="6"/>
      <c r="AS64" s="20"/>
    </row>
    <row r="65" spans="1:45" ht="15" customHeight="1">
      <c r="A65" s="23"/>
      <c r="B65" s="2"/>
      <c r="C65" s="467"/>
      <c r="D65" s="467"/>
      <c r="E65" s="467"/>
      <c r="F65" s="467"/>
      <c r="G65" s="467"/>
      <c r="H65" s="467"/>
      <c r="I65" s="467"/>
      <c r="J65" s="467"/>
      <c r="K65" s="467"/>
      <c r="L65" s="467"/>
      <c r="M65" s="467"/>
      <c r="N65" s="467"/>
      <c r="O65" s="467"/>
      <c r="P65" s="467"/>
      <c r="Q65" s="467"/>
      <c r="R65" s="467"/>
      <c r="S65" s="467"/>
      <c r="T65" s="467"/>
      <c r="U65" s="467"/>
      <c r="V65" s="467"/>
      <c r="W65" s="467"/>
      <c r="X65" s="467"/>
      <c r="Y65" s="467"/>
      <c r="Z65" s="467"/>
      <c r="AA65" s="467"/>
      <c r="AB65" s="467"/>
      <c r="AC65" s="467"/>
      <c r="AD65" s="467"/>
      <c r="AE65" s="467"/>
      <c r="AF65" s="467"/>
      <c r="AG65" s="467"/>
      <c r="AH65" s="467"/>
      <c r="AI65" s="467"/>
      <c r="AJ65" s="467"/>
      <c r="AK65" s="467"/>
      <c r="AL65" s="467"/>
      <c r="AM65" s="467"/>
      <c r="AN65" s="467"/>
      <c r="AO65" s="467"/>
      <c r="AP65" s="467"/>
      <c r="AQ65" s="467"/>
      <c r="AR65" s="6"/>
      <c r="AS65" s="20"/>
    </row>
    <row r="66" spans="1:45" ht="15" customHeight="1">
      <c r="A66" s="23"/>
      <c r="B66" s="49">
        <v>94</v>
      </c>
      <c r="C66" s="467" t="str">
        <f>HLOOKUP($B$1,e!$A$1:$Z$243,B66,FALSE)</f>
        <v>En la columna central, agregue una fecha de terminación para cada paso de acción.</v>
      </c>
      <c r="D66" s="467"/>
      <c r="E66" s="467"/>
      <c r="F66" s="467"/>
      <c r="G66" s="467"/>
      <c r="H66" s="467"/>
      <c r="I66" s="467"/>
      <c r="J66" s="467"/>
      <c r="K66" s="467"/>
      <c r="L66" s="467"/>
      <c r="M66" s="467"/>
      <c r="N66" s="467"/>
      <c r="O66" s="467"/>
      <c r="P66" s="467"/>
      <c r="Q66" s="467"/>
      <c r="R66" s="467"/>
      <c r="S66" s="467"/>
      <c r="T66" s="467"/>
      <c r="U66" s="467"/>
      <c r="V66" s="467"/>
      <c r="W66" s="467"/>
      <c r="X66" s="467"/>
      <c r="Y66" s="467"/>
      <c r="Z66" s="467"/>
      <c r="AA66" s="467"/>
      <c r="AB66" s="467"/>
      <c r="AC66" s="467"/>
      <c r="AD66" s="467"/>
      <c r="AE66" s="467"/>
      <c r="AF66" s="467"/>
      <c r="AG66" s="467"/>
      <c r="AH66" s="467"/>
      <c r="AI66" s="467"/>
      <c r="AJ66" s="467"/>
      <c r="AK66" s="467"/>
      <c r="AL66" s="467"/>
      <c r="AM66" s="467"/>
      <c r="AN66" s="467"/>
      <c r="AO66" s="467"/>
      <c r="AP66" s="467"/>
      <c r="AQ66" s="467"/>
      <c r="AR66" s="6"/>
      <c r="AS66" s="20"/>
    </row>
    <row r="67" spans="1:45" ht="15" customHeight="1">
      <c r="A67" s="23"/>
      <c r="B67" s="2"/>
      <c r="C67" s="467"/>
      <c r="D67" s="467"/>
      <c r="E67" s="467"/>
      <c r="F67" s="467"/>
      <c r="G67" s="467"/>
      <c r="H67" s="467"/>
      <c r="I67" s="467"/>
      <c r="J67" s="467"/>
      <c r="K67" s="467"/>
      <c r="L67" s="467"/>
      <c r="M67" s="467"/>
      <c r="N67" s="467"/>
      <c r="O67" s="467"/>
      <c r="P67" s="467"/>
      <c r="Q67" s="467"/>
      <c r="R67" s="467"/>
      <c r="S67" s="467"/>
      <c r="T67" s="467"/>
      <c r="U67" s="467"/>
      <c r="V67" s="467"/>
      <c r="W67" s="467"/>
      <c r="X67" s="467"/>
      <c r="Y67" s="467"/>
      <c r="Z67" s="467"/>
      <c r="AA67" s="467"/>
      <c r="AB67" s="467"/>
      <c r="AC67" s="467"/>
      <c r="AD67" s="467"/>
      <c r="AE67" s="467"/>
      <c r="AF67" s="467"/>
      <c r="AG67" s="467"/>
      <c r="AH67" s="467"/>
      <c r="AI67" s="467"/>
      <c r="AJ67" s="467"/>
      <c r="AK67" s="467"/>
      <c r="AL67" s="467"/>
      <c r="AM67" s="467"/>
      <c r="AN67" s="467"/>
      <c r="AO67" s="467"/>
      <c r="AP67" s="467"/>
      <c r="AQ67" s="467"/>
      <c r="AR67" s="6"/>
      <c r="AS67" s="20"/>
    </row>
    <row r="68" spans="1:45" ht="15" customHeight="1">
      <c r="A68" s="23"/>
      <c r="B68" s="49">
        <v>95</v>
      </c>
      <c r="C68" s="467" t="str">
        <f>HLOOKUP($B$1,e!$A$1:$Z$243,B68,FALSE)</f>
        <v>En la columna derecha, haga una lista de las personas a las que puede pedir ayuda, los materiales que necesitará y otras cosas que pueden ayudar a completar el paso de acción.</v>
      </c>
      <c r="D68" s="467"/>
      <c r="E68" s="467"/>
      <c r="F68" s="467"/>
      <c r="G68" s="467"/>
      <c r="H68" s="467"/>
      <c r="I68" s="467"/>
      <c r="J68" s="467"/>
      <c r="K68" s="467"/>
      <c r="L68" s="467"/>
      <c r="M68" s="467"/>
      <c r="N68" s="467"/>
      <c r="O68" s="467"/>
      <c r="P68" s="467"/>
      <c r="Q68" s="467"/>
      <c r="R68" s="467"/>
      <c r="S68" s="467"/>
      <c r="T68" s="467"/>
      <c r="U68" s="467"/>
      <c r="V68" s="467"/>
      <c r="W68" s="467"/>
      <c r="X68" s="467"/>
      <c r="Y68" s="467"/>
      <c r="Z68" s="467"/>
      <c r="AA68" s="467"/>
      <c r="AB68" s="467"/>
      <c r="AC68" s="467"/>
      <c r="AD68" s="467"/>
      <c r="AE68" s="467"/>
      <c r="AF68" s="467"/>
      <c r="AG68" s="467"/>
      <c r="AH68" s="467"/>
      <c r="AI68" s="467"/>
      <c r="AJ68" s="467"/>
      <c r="AK68" s="467"/>
      <c r="AL68" s="467"/>
      <c r="AM68" s="467"/>
      <c r="AN68" s="467"/>
      <c r="AO68" s="467"/>
      <c r="AP68" s="467"/>
      <c r="AQ68" s="467"/>
      <c r="AR68" s="6"/>
      <c r="AS68" s="20"/>
    </row>
    <row r="69" spans="1:45" ht="15" customHeight="1">
      <c r="A69" s="23"/>
      <c r="B69" s="2"/>
      <c r="C69" s="467"/>
      <c r="D69" s="467"/>
      <c r="E69" s="467"/>
      <c r="F69" s="467"/>
      <c r="G69" s="467"/>
      <c r="H69" s="467"/>
      <c r="I69" s="467"/>
      <c r="J69" s="467"/>
      <c r="K69" s="467"/>
      <c r="L69" s="467"/>
      <c r="M69" s="467"/>
      <c r="N69" s="467"/>
      <c r="O69" s="467"/>
      <c r="P69" s="467"/>
      <c r="Q69" s="467"/>
      <c r="R69" s="467"/>
      <c r="S69" s="467"/>
      <c r="T69" s="467"/>
      <c r="U69" s="467"/>
      <c r="V69" s="467"/>
      <c r="W69" s="467"/>
      <c r="X69" s="467"/>
      <c r="Y69" s="467"/>
      <c r="Z69" s="467"/>
      <c r="AA69" s="467"/>
      <c r="AB69" s="467"/>
      <c r="AC69" s="467"/>
      <c r="AD69" s="467"/>
      <c r="AE69" s="467"/>
      <c r="AF69" s="467"/>
      <c r="AG69" s="467"/>
      <c r="AH69" s="467"/>
      <c r="AI69" s="467"/>
      <c r="AJ69" s="467"/>
      <c r="AK69" s="467"/>
      <c r="AL69" s="467"/>
      <c r="AM69" s="467"/>
      <c r="AN69" s="467"/>
      <c r="AO69" s="467"/>
      <c r="AP69" s="467"/>
      <c r="AQ69" s="467"/>
      <c r="AR69" s="6"/>
      <c r="AS69" s="20"/>
    </row>
    <row r="70" spans="1:45" ht="12" customHeight="1">
      <c r="A70" s="23"/>
      <c r="B70" s="14"/>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46"/>
      <c r="AI70" s="7"/>
      <c r="AJ70" s="7"/>
      <c r="AK70" s="7"/>
      <c r="AL70" s="7"/>
      <c r="AM70" s="7"/>
      <c r="AN70" s="7"/>
      <c r="AO70" s="7"/>
      <c r="AP70" s="7"/>
      <c r="AQ70" s="7"/>
      <c r="AR70" s="45"/>
      <c r="AS70" s="20"/>
    </row>
    <row r="71" spans="1:45" ht="9.9499999999999993" customHeight="1">
      <c r="A71" s="23"/>
      <c r="B71" s="13"/>
      <c r="C71" s="53"/>
      <c r="D71" s="53"/>
      <c r="E71" s="53"/>
      <c r="F71" s="53"/>
      <c r="G71" s="53"/>
      <c r="H71" s="53"/>
      <c r="I71" s="53"/>
      <c r="J71" s="53"/>
      <c r="K71" s="53"/>
      <c r="L71" s="53"/>
      <c r="M71" s="53"/>
      <c r="N71" s="53"/>
      <c r="O71" s="53"/>
      <c r="P71" s="53"/>
      <c r="Q71" s="53"/>
      <c r="R71" s="53"/>
      <c r="S71" s="53"/>
      <c r="T71" s="53"/>
      <c r="U71" s="53"/>
      <c r="V71" s="53"/>
      <c r="W71" s="53"/>
      <c r="X71" s="53"/>
      <c r="Y71" s="53"/>
      <c r="Z71" s="53"/>
      <c r="AA71" s="53"/>
      <c r="AB71" s="53"/>
      <c r="AC71" s="53"/>
      <c r="AD71" s="53"/>
      <c r="AE71" s="53"/>
      <c r="AF71" s="53"/>
      <c r="AG71" s="53"/>
      <c r="AH71" s="44"/>
      <c r="AI71" s="4"/>
      <c r="AJ71" s="4"/>
      <c r="AK71" s="4"/>
      <c r="AL71" s="4"/>
      <c r="AM71" s="4"/>
      <c r="AN71" s="4"/>
      <c r="AO71" s="4"/>
      <c r="AP71" s="4"/>
      <c r="AQ71" s="4"/>
      <c r="AR71" s="27"/>
      <c r="AS71" s="20"/>
    </row>
    <row r="72" spans="1:45" ht="15.95" customHeight="1">
      <c r="A72" s="23"/>
      <c r="B72" s="49">
        <v>97</v>
      </c>
      <c r="C72" s="38" t="str">
        <f>HLOOKUP($B$1,e!$A$1:$Z$243,B72,FALSE)</f>
        <v>Nueva generación</v>
      </c>
      <c r="D72" s="36"/>
      <c r="E72" s="36"/>
      <c r="F72" s="36"/>
      <c r="G72" s="36"/>
      <c r="H72" s="36"/>
      <c r="I72" s="10"/>
      <c r="J72" s="10"/>
      <c r="K72" s="67"/>
      <c r="L72" s="67"/>
      <c r="M72" s="67"/>
      <c r="N72" s="67"/>
      <c r="O72" s="67"/>
      <c r="P72" s="67"/>
      <c r="Q72" s="10"/>
      <c r="R72" s="10"/>
      <c r="S72" s="67"/>
      <c r="T72" s="26">
        <v>98</v>
      </c>
      <c r="U72" s="30" t="str">
        <f>HLOOKUP($B$1,e!$A$1:$Z$243,T72,FALSE)</f>
        <v>(sección 4)</v>
      </c>
      <c r="V72" s="67"/>
      <c r="W72" s="67"/>
      <c r="X72" s="67"/>
      <c r="Y72" s="67"/>
      <c r="Z72" s="67"/>
      <c r="AA72" s="67"/>
      <c r="AB72" s="67"/>
      <c r="AC72" s="67"/>
      <c r="AD72" s="67"/>
      <c r="AE72" s="67"/>
      <c r="AF72" s="67"/>
      <c r="AG72" s="67"/>
      <c r="AH72" s="15"/>
      <c r="AI72" s="5"/>
      <c r="AJ72" s="5"/>
      <c r="AK72" s="5"/>
      <c r="AL72" s="5"/>
      <c r="AM72" s="5"/>
      <c r="AN72" s="5"/>
      <c r="AO72" s="5"/>
      <c r="AP72" s="5"/>
      <c r="AQ72" s="5"/>
      <c r="AR72" s="6"/>
      <c r="AS72" s="20"/>
    </row>
    <row r="73" spans="1:45" ht="15" customHeight="1">
      <c r="A73" s="23"/>
      <c r="B73" s="49">
        <v>99</v>
      </c>
      <c r="C73" s="467" t="str">
        <f>HLOOKUP($B$1,e!$A$1:$Z$243,B73,FALSE)</f>
        <v>Use el espacio provisto para entrenar al líder sobre cómo se está alentando y desarrollando la próxima generación. Si necesita más espacio, puede usar más papel.</v>
      </c>
      <c r="D73" s="467"/>
      <c r="E73" s="467"/>
      <c r="F73" s="467"/>
      <c r="G73" s="467"/>
      <c r="H73" s="467"/>
      <c r="I73" s="467"/>
      <c r="J73" s="467"/>
      <c r="K73" s="467"/>
      <c r="L73" s="467"/>
      <c r="M73" s="467"/>
      <c r="N73" s="467"/>
      <c r="O73" s="467"/>
      <c r="P73" s="467"/>
      <c r="Q73" s="467"/>
      <c r="R73" s="467"/>
      <c r="S73" s="467"/>
      <c r="T73" s="467"/>
      <c r="U73" s="467"/>
      <c r="V73" s="467"/>
      <c r="W73" s="467"/>
      <c r="X73" s="467"/>
      <c r="Y73" s="467"/>
      <c r="Z73" s="467"/>
      <c r="AA73" s="467"/>
      <c r="AB73" s="467"/>
      <c r="AC73" s="467"/>
      <c r="AD73" s="467"/>
      <c r="AE73" s="467"/>
      <c r="AF73" s="467"/>
      <c r="AG73" s="467"/>
      <c r="AH73" s="467"/>
      <c r="AI73" s="467"/>
      <c r="AJ73" s="467"/>
      <c r="AK73" s="467"/>
      <c r="AL73" s="467"/>
      <c r="AM73" s="467"/>
      <c r="AN73" s="467"/>
      <c r="AO73" s="467"/>
      <c r="AP73" s="467"/>
      <c r="AQ73" s="467"/>
      <c r="AR73" s="6"/>
      <c r="AS73" s="20"/>
    </row>
    <row r="74" spans="1:45" ht="15" customHeight="1">
      <c r="A74" s="23"/>
      <c r="B74" s="2"/>
      <c r="C74" s="467"/>
      <c r="D74" s="467"/>
      <c r="E74" s="467"/>
      <c r="F74" s="467"/>
      <c r="G74" s="467"/>
      <c r="H74" s="467"/>
      <c r="I74" s="467"/>
      <c r="J74" s="467"/>
      <c r="K74" s="467"/>
      <c r="L74" s="467"/>
      <c r="M74" s="467"/>
      <c r="N74" s="467"/>
      <c r="O74" s="467"/>
      <c r="P74" s="467"/>
      <c r="Q74" s="467"/>
      <c r="R74" s="467"/>
      <c r="S74" s="467"/>
      <c r="T74" s="467"/>
      <c r="U74" s="467"/>
      <c r="V74" s="467"/>
      <c r="W74" s="467"/>
      <c r="X74" s="467"/>
      <c r="Y74" s="467"/>
      <c r="Z74" s="467"/>
      <c r="AA74" s="467"/>
      <c r="AB74" s="467"/>
      <c r="AC74" s="467"/>
      <c r="AD74" s="467"/>
      <c r="AE74" s="467"/>
      <c r="AF74" s="467"/>
      <c r="AG74" s="467"/>
      <c r="AH74" s="467"/>
      <c r="AI74" s="467"/>
      <c r="AJ74" s="467"/>
      <c r="AK74" s="467"/>
      <c r="AL74" s="467"/>
      <c r="AM74" s="467"/>
      <c r="AN74" s="467"/>
      <c r="AO74" s="467"/>
      <c r="AP74" s="467"/>
      <c r="AQ74" s="467"/>
      <c r="AR74" s="6"/>
      <c r="AS74" s="20"/>
    </row>
    <row r="75" spans="1:45" ht="15" customHeight="1">
      <c r="A75" s="23"/>
      <c r="B75" s="2"/>
      <c r="C75" s="67"/>
      <c r="D75" s="67"/>
      <c r="E75" s="67"/>
      <c r="F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15"/>
      <c r="AI75" s="5"/>
      <c r="AJ75" s="5"/>
      <c r="AK75" s="5"/>
      <c r="AL75" s="5"/>
      <c r="AM75" s="5"/>
      <c r="AN75" s="5"/>
      <c r="AO75" s="5"/>
      <c r="AP75" s="5"/>
      <c r="AQ75" s="5"/>
      <c r="AR75" s="6"/>
      <c r="AS75" s="20"/>
    </row>
    <row r="76" spans="1:45" ht="15" customHeight="1">
      <c r="A76" s="23"/>
      <c r="B76" s="49">
        <v>101</v>
      </c>
      <c r="C76" s="40" t="str">
        <f>HLOOKUP($B$1,e!$A$1:$Z$243,B76,FALSE)</f>
        <v>Cuando hay iglesias hijas establecidas:</v>
      </c>
      <c r="D76" s="67"/>
      <c r="E76" s="67"/>
      <c r="F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58"/>
      <c r="AI76" s="47"/>
      <c r="AJ76" s="47"/>
      <c r="AK76" s="47"/>
      <c r="AL76" s="47"/>
      <c r="AM76" s="47"/>
      <c r="AN76" s="47"/>
      <c r="AO76" s="47"/>
      <c r="AP76" s="5"/>
      <c r="AQ76" s="5"/>
      <c r="AR76" s="6"/>
      <c r="AS76" s="20"/>
    </row>
    <row r="77" spans="1:45" ht="15" customHeight="1">
      <c r="A77" s="23"/>
      <c r="B77" s="49">
        <v>102</v>
      </c>
      <c r="C77" s="43" t="s">
        <v>326</v>
      </c>
      <c r="D77" s="467" t="str">
        <f>HLOOKUP($B$1,e!$A$1:$Z$243,B77,FALSE)</f>
        <v>En base a lo que se conoce, agregue el nombre, el líder, la ubicación, la fecha de inicio o las métricas centrales en la casilla superior izquierda.</v>
      </c>
      <c r="E77" s="467"/>
      <c r="F77" s="467"/>
      <c r="G77" s="467"/>
      <c r="H77" s="467"/>
      <c r="I77" s="467"/>
      <c r="J77" s="467"/>
      <c r="K77" s="467"/>
      <c r="L77" s="467"/>
      <c r="M77" s="467"/>
      <c r="N77" s="467"/>
      <c r="O77" s="467"/>
      <c r="P77" s="467"/>
      <c r="Q77" s="467"/>
      <c r="R77" s="467"/>
      <c r="S77" s="467"/>
      <c r="T77" s="467"/>
      <c r="U77" s="467"/>
      <c r="V77" s="467"/>
      <c r="W77" s="467"/>
      <c r="X77" s="467"/>
      <c r="Y77" s="467"/>
      <c r="Z77" s="467"/>
      <c r="AA77" s="467"/>
      <c r="AB77" s="467"/>
      <c r="AC77" s="467"/>
      <c r="AD77" s="467"/>
      <c r="AE77" s="467"/>
      <c r="AF77" s="467"/>
      <c r="AG77" s="467"/>
      <c r="AH77" s="467"/>
      <c r="AI77" s="467"/>
      <c r="AJ77" s="467"/>
      <c r="AK77" s="467"/>
      <c r="AL77" s="467"/>
      <c r="AM77" s="467"/>
      <c r="AN77" s="467"/>
      <c r="AO77" s="467"/>
      <c r="AP77" s="467"/>
      <c r="AQ77" s="467"/>
      <c r="AR77" s="6"/>
      <c r="AS77" s="20"/>
    </row>
    <row r="78" spans="1:45" ht="15" customHeight="1">
      <c r="A78" s="23"/>
      <c r="B78" s="2"/>
      <c r="C78" s="40"/>
      <c r="D78" s="467"/>
      <c r="E78" s="467"/>
      <c r="F78" s="467"/>
      <c r="G78" s="467"/>
      <c r="H78" s="467"/>
      <c r="I78" s="467"/>
      <c r="J78" s="467"/>
      <c r="K78" s="467"/>
      <c r="L78" s="467"/>
      <c r="M78" s="467"/>
      <c r="N78" s="467"/>
      <c r="O78" s="467"/>
      <c r="P78" s="467"/>
      <c r="Q78" s="467"/>
      <c r="R78" s="467"/>
      <c r="S78" s="467"/>
      <c r="T78" s="467"/>
      <c r="U78" s="467"/>
      <c r="V78" s="467"/>
      <c r="W78" s="467"/>
      <c r="X78" s="467"/>
      <c r="Y78" s="467"/>
      <c r="Z78" s="467"/>
      <c r="AA78" s="467"/>
      <c r="AB78" s="467"/>
      <c r="AC78" s="467"/>
      <c r="AD78" s="467"/>
      <c r="AE78" s="467"/>
      <c r="AF78" s="467"/>
      <c r="AG78" s="467"/>
      <c r="AH78" s="467"/>
      <c r="AI78" s="467"/>
      <c r="AJ78" s="467"/>
      <c r="AK78" s="467"/>
      <c r="AL78" s="467"/>
      <c r="AM78" s="467"/>
      <c r="AN78" s="467"/>
      <c r="AO78" s="467"/>
      <c r="AP78" s="467"/>
      <c r="AQ78" s="467"/>
      <c r="AR78" s="6"/>
      <c r="AS78" s="20"/>
    </row>
    <row r="79" spans="1:45" ht="15" customHeight="1">
      <c r="A79" s="23"/>
      <c r="B79" s="49">
        <v>103</v>
      </c>
      <c r="C79" s="43" t="s">
        <v>326</v>
      </c>
      <c r="D79" s="467" t="str">
        <f>HLOOKUP($B$1,e!$A$1:$Z$243,B79,FALSE)</f>
        <v>También como referencia, circule las funciones para ese grupo en la casilla inferior izquierda.</v>
      </c>
      <c r="E79" s="467"/>
      <c r="F79" s="467"/>
      <c r="G79" s="467"/>
      <c r="H79" s="467"/>
      <c r="I79" s="467"/>
      <c r="J79" s="467"/>
      <c r="K79" s="467"/>
      <c r="L79" s="467"/>
      <c r="M79" s="467"/>
      <c r="N79" s="467"/>
      <c r="O79" s="467"/>
      <c r="P79" s="467"/>
      <c r="Q79" s="467"/>
      <c r="R79" s="467"/>
      <c r="S79" s="467"/>
      <c r="T79" s="467"/>
      <c r="U79" s="467"/>
      <c r="V79" s="467"/>
      <c r="W79" s="467"/>
      <c r="X79" s="467"/>
      <c r="Y79" s="467"/>
      <c r="Z79" s="467"/>
      <c r="AA79" s="467"/>
      <c r="AB79" s="467"/>
      <c r="AC79" s="467"/>
      <c r="AD79" s="467"/>
      <c r="AE79" s="467"/>
      <c r="AF79" s="467"/>
      <c r="AG79" s="467"/>
      <c r="AH79" s="467"/>
      <c r="AI79" s="467"/>
      <c r="AJ79" s="467"/>
      <c r="AK79" s="467"/>
      <c r="AL79" s="467"/>
      <c r="AM79" s="467"/>
      <c r="AN79" s="467"/>
      <c r="AO79" s="467"/>
      <c r="AP79" s="467"/>
      <c r="AQ79" s="467"/>
      <c r="AR79" s="6"/>
      <c r="AS79" s="20"/>
    </row>
    <row r="80" spans="1:45" ht="15" customHeight="1">
      <c r="A80" s="23"/>
      <c r="B80" s="2"/>
      <c r="C80" s="40"/>
      <c r="D80" s="467"/>
      <c r="E80" s="467"/>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7"/>
      <c r="AJ80" s="467"/>
      <c r="AK80" s="467"/>
      <c r="AL80" s="467"/>
      <c r="AM80" s="467"/>
      <c r="AN80" s="467"/>
      <c r="AO80" s="467"/>
      <c r="AP80" s="467"/>
      <c r="AQ80" s="467"/>
      <c r="AR80" s="6"/>
      <c r="AS80" s="20"/>
    </row>
    <row r="81" spans="1:45" ht="15" customHeight="1">
      <c r="A81" s="23"/>
      <c r="B81" s="49">
        <v>104</v>
      </c>
      <c r="C81" s="43" t="s">
        <v>326</v>
      </c>
      <c r="D81" s="467" t="str">
        <f>HLOOKUP($B$1,e!$A$1:$Z$243,B81,FALSE)</f>
        <v>En la casilla más grande, enumere formas en las que el líder que recibe la capacitación en esta sesión de entrenamiento puede ayudar a alentar, desafiar y liberar al líder y grupo de la iglesia hija. No tome decisiones o prioridades en lugar del grupo hija.</v>
      </c>
      <c r="E81" s="467"/>
      <c r="F81" s="467"/>
      <c r="G81" s="467"/>
      <c r="H81" s="467"/>
      <c r="I81" s="467"/>
      <c r="J81" s="467"/>
      <c r="K81" s="467"/>
      <c r="L81" s="467"/>
      <c r="M81" s="467"/>
      <c r="N81" s="467"/>
      <c r="O81" s="467"/>
      <c r="P81" s="467"/>
      <c r="Q81" s="467"/>
      <c r="R81" s="467"/>
      <c r="S81" s="467"/>
      <c r="T81" s="467"/>
      <c r="U81" s="467"/>
      <c r="V81" s="467"/>
      <c r="W81" s="467"/>
      <c r="X81" s="467"/>
      <c r="Y81" s="467"/>
      <c r="Z81" s="467"/>
      <c r="AA81" s="467"/>
      <c r="AB81" s="467"/>
      <c r="AC81" s="467"/>
      <c r="AD81" s="467"/>
      <c r="AE81" s="467"/>
      <c r="AF81" s="467"/>
      <c r="AG81" s="467"/>
      <c r="AH81" s="467"/>
      <c r="AI81" s="467"/>
      <c r="AJ81" s="467"/>
      <c r="AK81" s="467"/>
      <c r="AL81" s="467"/>
      <c r="AM81" s="467"/>
      <c r="AN81" s="467"/>
      <c r="AO81" s="467"/>
      <c r="AP81" s="467"/>
      <c r="AQ81" s="467"/>
      <c r="AR81" s="6"/>
      <c r="AS81" s="20"/>
    </row>
    <row r="82" spans="1:45" ht="15" customHeight="1">
      <c r="A82" s="23"/>
      <c r="B82" s="2"/>
      <c r="C82" s="40"/>
      <c r="D82" s="467"/>
      <c r="E82" s="467"/>
      <c r="F82" s="467"/>
      <c r="G82" s="467"/>
      <c r="H82" s="467"/>
      <c r="I82" s="467"/>
      <c r="J82" s="467"/>
      <c r="K82" s="467"/>
      <c r="L82" s="467"/>
      <c r="M82" s="467"/>
      <c r="N82" s="467"/>
      <c r="O82" s="467"/>
      <c r="P82" s="467"/>
      <c r="Q82" s="467"/>
      <c r="R82" s="467"/>
      <c r="S82" s="467"/>
      <c r="T82" s="467"/>
      <c r="U82" s="467"/>
      <c r="V82" s="467"/>
      <c r="W82" s="467"/>
      <c r="X82" s="467"/>
      <c r="Y82" s="467"/>
      <c r="Z82" s="467"/>
      <c r="AA82" s="467"/>
      <c r="AB82" s="467"/>
      <c r="AC82" s="467"/>
      <c r="AD82" s="467"/>
      <c r="AE82" s="467"/>
      <c r="AF82" s="467"/>
      <c r="AG82" s="467"/>
      <c r="AH82" s="467"/>
      <c r="AI82" s="467"/>
      <c r="AJ82" s="467"/>
      <c r="AK82" s="467"/>
      <c r="AL82" s="467"/>
      <c r="AM82" s="467"/>
      <c r="AN82" s="467"/>
      <c r="AO82" s="467"/>
      <c r="AP82" s="467"/>
      <c r="AQ82" s="467"/>
      <c r="AR82" s="6"/>
      <c r="AS82" s="20"/>
    </row>
    <row r="83" spans="1:45" ht="15" customHeight="1">
      <c r="A83" s="23"/>
      <c r="B83" s="11"/>
      <c r="C83" s="10"/>
      <c r="D83" s="467"/>
      <c r="E83" s="467"/>
      <c r="F83" s="467"/>
      <c r="G83" s="467"/>
      <c r="H83" s="467"/>
      <c r="I83" s="467"/>
      <c r="J83" s="467"/>
      <c r="K83" s="467"/>
      <c r="L83" s="467"/>
      <c r="M83" s="467"/>
      <c r="N83" s="467"/>
      <c r="O83" s="467"/>
      <c r="P83" s="467"/>
      <c r="Q83" s="467"/>
      <c r="R83" s="467"/>
      <c r="S83" s="467"/>
      <c r="T83" s="467"/>
      <c r="U83" s="467"/>
      <c r="V83" s="467"/>
      <c r="W83" s="467"/>
      <c r="X83" s="467"/>
      <c r="Y83" s="467"/>
      <c r="Z83" s="467"/>
      <c r="AA83" s="467"/>
      <c r="AB83" s="467"/>
      <c r="AC83" s="467"/>
      <c r="AD83" s="467"/>
      <c r="AE83" s="467"/>
      <c r="AF83" s="467"/>
      <c r="AG83" s="467"/>
      <c r="AH83" s="467"/>
      <c r="AI83" s="467"/>
      <c r="AJ83" s="467"/>
      <c r="AK83" s="467"/>
      <c r="AL83" s="467"/>
      <c r="AM83" s="467"/>
      <c r="AN83" s="467"/>
      <c r="AO83" s="467"/>
      <c r="AP83" s="467"/>
      <c r="AQ83" s="467"/>
      <c r="AR83" s="6"/>
      <c r="AS83" s="20"/>
    </row>
    <row r="84" spans="1:45" ht="15" customHeight="1">
      <c r="A84" s="23"/>
      <c r="B84" s="49">
        <v>105</v>
      </c>
      <c r="C84" s="43"/>
      <c r="D84" s="467" t="str">
        <f>HLOOKUP($B$1,e!$A$1:$Z$243,B84,FALSE)</f>
        <v>(Cada grupo de hijas debe tener una charla de capacitación por separado y una herramienta de entrenamiento detallada).</v>
      </c>
      <c r="E84" s="467"/>
      <c r="F84" s="467"/>
      <c r="G84" s="467"/>
      <c r="H84" s="467"/>
      <c r="I84" s="467"/>
      <c r="J84" s="467"/>
      <c r="K84" s="467"/>
      <c r="L84" s="467"/>
      <c r="M84" s="467"/>
      <c r="N84" s="467"/>
      <c r="O84" s="467"/>
      <c r="P84" s="467"/>
      <c r="Q84" s="467"/>
      <c r="R84" s="467"/>
      <c r="S84" s="467"/>
      <c r="T84" s="467"/>
      <c r="U84" s="467"/>
      <c r="V84" s="467"/>
      <c r="W84" s="467"/>
      <c r="X84" s="467"/>
      <c r="Y84" s="467"/>
      <c r="Z84" s="467"/>
      <c r="AA84" s="467"/>
      <c r="AB84" s="467"/>
      <c r="AC84" s="467"/>
      <c r="AD84" s="467"/>
      <c r="AE84" s="467"/>
      <c r="AF84" s="467"/>
      <c r="AG84" s="467"/>
      <c r="AH84" s="467"/>
      <c r="AI84" s="467"/>
      <c r="AJ84" s="467"/>
      <c r="AK84" s="467"/>
      <c r="AL84" s="467"/>
      <c r="AM84" s="467"/>
      <c r="AN84" s="467"/>
      <c r="AO84" s="467"/>
      <c r="AP84" s="467"/>
      <c r="AQ84" s="467"/>
      <c r="AR84" s="6"/>
      <c r="AS84" s="20"/>
    </row>
    <row r="85" spans="1:45" ht="15" customHeight="1">
      <c r="A85" s="23"/>
      <c r="B85" s="2"/>
      <c r="C85" s="40"/>
      <c r="D85" s="467"/>
      <c r="E85" s="467"/>
      <c r="F85" s="467"/>
      <c r="G85" s="467"/>
      <c r="H85" s="467"/>
      <c r="I85" s="467"/>
      <c r="J85" s="467"/>
      <c r="K85" s="467"/>
      <c r="L85" s="467"/>
      <c r="M85" s="467"/>
      <c r="N85" s="467"/>
      <c r="O85" s="467"/>
      <c r="P85" s="467"/>
      <c r="Q85" s="467"/>
      <c r="R85" s="467"/>
      <c r="S85" s="467"/>
      <c r="T85" s="467"/>
      <c r="U85" s="467"/>
      <c r="V85" s="467"/>
      <c r="W85" s="467"/>
      <c r="X85" s="467"/>
      <c r="Y85" s="467"/>
      <c r="Z85" s="467"/>
      <c r="AA85" s="467"/>
      <c r="AB85" s="467"/>
      <c r="AC85" s="467"/>
      <c r="AD85" s="467"/>
      <c r="AE85" s="467"/>
      <c r="AF85" s="467"/>
      <c r="AG85" s="467"/>
      <c r="AH85" s="467"/>
      <c r="AI85" s="467"/>
      <c r="AJ85" s="467"/>
      <c r="AK85" s="467"/>
      <c r="AL85" s="467"/>
      <c r="AM85" s="467"/>
      <c r="AN85" s="467"/>
      <c r="AO85" s="467"/>
      <c r="AP85" s="467"/>
      <c r="AQ85" s="467"/>
      <c r="AR85" s="6"/>
      <c r="AS85" s="20"/>
    </row>
    <row r="86" spans="1:45" ht="15" customHeight="1">
      <c r="A86" s="23"/>
      <c r="B86" s="49">
        <v>107</v>
      </c>
      <c r="C86" s="40" t="str">
        <f>HLOOKUP($B$1,e!$A$1:$Z$243,B86,FALSE)</f>
        <v>Para grupos y líderes emergentes o áreas que están siendo exploradas:</v>
      </c>
      <c r="D86" s="67"/>
      <c r="E86" s="67"/>
      <c r="F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58"/>
      <c r="AI86" s="47"/>
      <c r="AJ86" s="47"/>
      <c r="AK86" s="47"/>
      <c r="AL86" s="47"/>
      <c r="AM86" s="47"/>
      <c r="AN86" s="47"/>
      <c r="AO86" s="47"/>
      <c r="AP86" s="5"/>
      <c r="AQ86" s="5"/>
      <c r="AR86" s="6"/>
      <c r="AS86" s="20"/>
    </row>
    <row r="87" spans="1:45" ht="15" customHeight="1">
      <c r="A87" s="23"/>
      <c r="B87" s="49">
        <v>108</v>
      </c>
      <c r="C87" s="43" t="s">
        <v>326</v>
      </c>
      <c r="D87" s="467" t="str">
        <f>HLOOKUP($B$1,e!$A$1:$Z$243,B87,FALSE)</f>
        <v>Ponga el nombre del nuevo grupo, comunidad o líder potencial en la casilla superior izquierda.</v>
      </c>
      <c r="E87" s="467"/>
      <c r="F87" s="467"/>
      <c r="G87" s="467"/>
      <c r="H87" s="467"/>
      <c r="I87" s="467"/>
      <c r="J87" s="467"/>
      <c r="K87" s="467"/>
      <c r="L87" s="467"/>
      <c r="M87" s="467"/>
      <c r="N87" s="467"/>
      <c r="O87" s="467"/>
      <c r="P87" s="467"/>
      <c r="Q87" s="467"/>
      <c r="R87" s="467"/>
      <c r="S87" s="467"/>
      <c r="T87" s="467"/>
      <c r="U87" s="467"/>
      <c r="V87" s="467"/>
      <c r="W87" s="467"/>
      <c r="X87" s="467"/>
      <c r="Y87" s="467"/>
      <c r="Z87" s="467"/>
      <c r="AA87" s="467"/>
      <c r="AB87" s="467"/>
      <c r="AC87" s="467"/>
      <c r="AD87" s="467"/>
      <c r="AE87" s="467"/>
      <c r="AF87" s="467"/>
      <c r="AG87" s="467"/>
      <c r="AH87" s="467"/>
      <c r="AI87" s="467"/>
      <c r="AJ87" s="467"/>
      <c r="AK87" s="467"/>
      <c r="AL87" s="467"/>
      <c r="AM87" s="467"/>
      <c r="AN87" s="467"/>
      <c r="AO87" s="467"/>
      <c r="AP87" s="5"/>
      <c r="AQ87" s="5"/>
      <c r="AR87" s="6"/>
      <c r="AS87" s="20"/>
    </row>
    <row r="88" spans="1:45" ht="15" customHeight="1">
      <c r="A88" s="23"/>
      <c r="B88" s="2"/>
      <c r="C88" s="40"/>
      <c r="D88" s="467"/>
      <c r="E88" s="467"/>
      <c r="F88" s="467"/>
      <c r="G88" s="467"/>
      <c r="H88" s="467"/>
      <c r="I88" s="467"/>
      <c r="J88" s="467"/>
      <c r="K88" s="467"/>
      <c r="L88" s="467"/>
      <c r="M88" s="467"/>
      <c r="N88" s="467"/>
      <c r="O88" s="467"/>
      <c r="P88" s="467"/>
      <c r="Q88" s="467"/>
      <c r="R88" s="467"/>
      <c r="S88" s="467"/>
      <c r="T88" s="467"/>
      <c r="U88" s="467"/>
      <c r="V88" s="467"/>
      <c r="W88" s="467"/>
      <c r="X88" s="467"/>
      <c r="Y88" s="467"/>
      <c r="Z88" s="467"/>
      <c r="AA88" s="467"/>
      <c r="AB88" s="467"/>
      <c r="AC88" s="467"/>
      <c r="AD88" s="467"/>
      <c r="AE88" s="467"/>
      <c r="AF88" s="467"/>
      <c r="AG88" s="467"/>
      <c r="AH88" s="467"/>
      <c r="AI88" s="467"/>
      <c r="AJ88" s="467"/>
      <c r="AK88" s="467"/>
      <c r="AL88" s="467"/>
      <c r="AM88" s="467"/>
      <c r="AN88" s="467"/>
      <c r="AO88" s="467"/>
      <c r="AP88" s="5"/>
      <c r="AQ88" s="5"/>
      <c r="AR88" s="6"/>
      <c r="AS88" s="20"/>
    </row>
    <row r="89" spans="1:45" ht="15" customHeight="1">
      <c r="A89" s="23"/>
      <c r="B89" s="49">
        <v>109</v>
      </c>
      <c r="C89" s="43" t="s">
        <v>326</v>
      </c>
      <c r="D89" s="467" t="str">
        <f>HLOOKUP($B$1,e!$A$1:$Z$243,B89,FALSE)</f>
        <v>En la casilla más grande, enumere lo que se hizo en el último período de tiempo para ayudar al grupo o líder emergente.</v>
      </c>
      <c r="E89" s="467"/>
      <c r="F89" s="467"/>
      <c r="G89" s="467"/>
      <c r="H89" s="467"/>
      <c r="I89" s="467"/>
      <c r="J89" s="467"/>
      <c r="K89" s="467"/>
      <c r="L89" s="467"/>
      <c r="M89" s="467"/>
      <c r="N89" s="467"/>
      <c r="O89" s="467"/>
      <c r="P89" s="467"/>
      <c r="Q89" s="467"/>
      <c r="R89" s="467"/>
      <c r="S89" s="467"/>
      <c r="T89" s="467"/>
      <c r="U89" s="467"/>
      <c r="V89" s="467"/>
      <c r="W89" s="467"/>
      <c r="X89" s="467"/>
      <c r="Y89" s="467"/>
      <c r="Z89" s="467"/>
      <c r="AA89" s="467"/>
      <c r="AB89" s="467"/>
      <c r="AC89" s="467"/>
      <c r="AD89" s="467"/>
      <c r="AE89" s="467"/>
      <c r="AF89" s="467"/>
      <c r="AG89" s="467"/>
      <c r="AH89" s="467"/>
      <c r="AI89" s="467"/>
      <c r="AJ89" s="467"/>
      <c r="AK89" s="467"/>
      <c r="AL89" s="467"/>
      <c r="AM89" s="467"/>
      <c r="AN89" s="467"/>
      <c r="AO89" s="467"/>
      <c r="AP89" s="5"/>
      <c r="AQ89" s="5"/>
      <c r="AR89" s="6"/>
      <c r="AS89" s="20"/>
    </row>
    <row r="90" spans="1:45" ht="15" customHeight="1">
      <c r="A90" s="23"/>
      <c r="B90" s="2"/>
      <c r="C90" s="40"/>
      <c r="D90" s="467"/>
      <c r="E90" s="467"/>
      <c r="F90" s="467"/>
      <c r="G90" s="467"/>
      <c r="H90" s="467"/>
      <c r="I90" s="467"/>
      <c r="J90" s="467"/>
      <c r="K90" s="467"/>
      <c r="L90" s="467"/>
      <c r="M90" s="467"/>
      <c r="N90" s="467"/>
      <c r="O90" s="467"/>
      <c r="P90" s="467"/>
      <c r="Q90" s="467"/>
      <c r="R90" s="467"/>
      <c r="S90" s="467"/>
      <c r="T90" s="467"/>
      <c r="U90" s="467"/>
      <c r="V90" s="467"/>
      <c r="W90" s="467"/>
      <c r="X90" s="467"/>
      <c r="Y90" s="467"/>
      <c r="Z90" s="467"/>
      <c r="AA90" s="467"/>
      <c r="AB90" s="467"/>
      <c r="AC90" s="467"/>
      <c r="AD90" s="467"/>
      <c r="AE90" s="467"/>
      <c r="AF90" s="467"/>
      <c r="AG90" s="467"/>
      <c r="AH90" s="467"/>
      <c r="AI90" s="467"/>
      <c r="AJ90" s="467"/>
      <c r="AK90" s="467"/>
      <c r="AL90" s="467"/>
      <c r="AM90" s="467"/>
      <c r="AN90" s="467"/>
      <c r="AO90" s="467"/>
      <c r="AP90" s="5"/>
      <c r="AQ90" s="5"/>
      <c r="AR90" s="6"/>
      <c r="AS90" s="20"/>
    </row>
    <row r="91" spans="1:45" ht="15" customHeight="1">
      <c r="A91" s="23"/>
      <c r="B91" s="49">
        <v>110</v>
      </c>
      <c r="C91" s="43" t="s">
        <v>326</v>
      </c>
      <c r="D91" s="467" t="str">
        <f>HLOOKUP($B$1,e!$A$1:$Z$243,B91,FALSE)</f>
        <v>Agregue ideas de cómo hacer nuevos progresos y discernir la guía del Espíritu Santo en el próximo período.</v>
      </c>
      <c r="E91" s="467"/>
      <c r="F91" s="467"/>
      <c r="G91" s="467"/>
      <c r="H91" s="467"/>
      <c r="I91" s="467"/>
      <c r="J91" s="467"/>
      <c r="K91" s="467"/>
      <c r="L91" s="467"/>
      <c r="M91" s="467"/>
      <c r="N91" s="467"/>
      <c r="O91" s="467"/>
      <c r="P91" s="467"/>
      <c r="Q91" s="467"/>
      <c r="R91" s="467"/>
      <c r="S91" s="467"/>
      <c r="T91" s="467"/>
      <c r="U91" s="467"/>
      <c r="V91" s="467"/>
      <c r="W91" s="467"/>
      <c r="X91" s="467"/>
      <c r="Y91" s="467"/>
      <c r="Z91" s="467"/>
      <c r="AA91" s="467"/>
      <c r="AB91" s="467"/>
      <c r="AC91" s="467"/>
      <c r="AD91" s="467"/>
      <c r="AE91" s="467"/>
      <c r="AF91" s="467"/>
      <c r="AG91" s="467"/>
      <c r="AH91" s="467"/>
      <c r="AI91" s="467"/>
      <c r="AJ91" s="467"/>
      <c r="AK91" s="467"/>
      <c r="AL91" s="467"/>
      <c r="AM91" s="467"/>
      <c r="AN91" s="467"/>
      <c r="AO91" s="467"/>
      <c r="AP91" s="5"/>
      <c r="AQ91" s="5"/>
      <c r="AR91" s="6"/>
      <c r="AS91" s="20"/>
    </row>
    <row r="92" spans="1:45" ht="15" customHeight="1">
      <c r="A92" s="23"/>
      <c r="B92" s="2"/>
      <c r="C92" s="40"/>
      <c r="D92" s="467"/>
      <c r="E92" s="467"/>
      <c r="F92" s="467"/>
      <c r="G92" s="467"/>
      <c r="H92" s="467"/>
      <c r="I92" s="467"/>
      <c r="J92" s="467"/>
      <c r="K92" s="467"/>
      <c r="L92" s="467"/>
      <c r="M92" s="467"/>
      <c r="N92" s="467"/>
      <c r="O92" s="467"/>
      <c r="P92" s="467"/>
      <c r="Q92" s="467"/>
      <c r="R92" s="467"/>
      <c r="S92" s="467"/>
      <c r="T92" s="467"/>
      <c r="U92" s="467"/>
      <c r="V92" s="467"/>
      <c r="W92" s="467"/>
      <c r="X92" s="467"/>
      <c r="Y92" s="467"/>
      <c r="Z92" s="467"/>
      <c r="AA92" s="467"/>
      <c r="AB92" s="467"/>
      <c r="AC92" s="467"/>
      <c r="AD92" s="467"/>
      <c r="AE92" s="467"/>
      <c r="AF92" s="467"/>
      <c r="AG92" s="467"/>
      <c r="AH92" s="467"/>
      <c r="AI92" s="467"/>
      <c r="AJ92" s="467"/>
      <c r="AK92" s="467"/>
      <c r="AL92" s="467"/>
      <c r="AM92" s="467"/>
      <c r="AN92" s="467"/>
      <c r="AO92" s="467"/>
      <c r="AP92" s="5"/>
      <c r="AQ92" s="5"/>
      <c r="AR92" s="6"/>
      <c r="AS92" s="20"/>
    </row>
    <row r="93" spans="1:45" ht="15" customHeight="1">
      <c r="A93" s="23"/>
      <c r="B93" s="49">
        <v>111</v>
      </c>
      <c r="C93" s="43" t="s">
        <v>326</v>
      </c>
      <c r="D93" s="467" t="str">
        <f>HLOOKUP($B$1,e!$A$1:$Z$243,B93,FALSE)</f>
        <v>Marque las prioridades para el próximo período de tiempo y discuta un plan para lograrlas.</v>
      </c>
      <c r="E93" s="467"/>
      <c r="F93" s="467"/>
      <c r="G93" s="467"/>
      <c r="H93" s="467"/>
      <c r="I93" s="467"/>
      <c r="J93" s="467"/>
      <c r="K93" s="467"/>
      <c r="L93" s="467"/>
      <c r="M93" s="467"/>
      <c r="N93" s="467"/>
      <c r="O93" s="467"/>
      <c r="P93" s="467"/>
      <c r="Q93" s="467"/>
      <c r="R93" s="467"/>
      <c r="S93" s="467"/>
      <c r="T93" s="467"/>
      <c r="U93" s="467"/>
      <c r="V93" s="467"/>
      <c r="W93" s="467"/>
      <c r="X93" s="467"/>
      <c r="Y93" s="467"/>
      <c r="Z93" s="467"/>
      <c r="AA93" s="467"/>
      <c r="AB93" s="467"/>
      <c r="AC93" s="467"/>
      <c r="AD93" s="467"/>
      <c r="AE93" s="467"/>
      <c r="AF93" s="467"/>
      <c r="AG93" s="467"/>
      <c r="AH93" s="467"/>
      <c r="AI93" s="467"/>
      <c r="AJ93" s="467"/>
      <c r="AK93" s="467"/>
      <c r="AL93" s="467"/>
      <c r="AM93" s="467"/>
      <c r="AN93" s="467"/>
      <c r="AO93" s="467"/>
      <c r="AP93" s="5"/>
      <c r="AQ93" s="5"/>
      <c r="AR93" s="6"/>
      <c r="AS93" s="20"/>
    </row>
    <row r="94" spans="1:45" ht="15" customHeight="1">
      <c r="A94" s="23"/>
      <c r="B94" s="2"/>
      <c r="C94" s="40"/>
      <c r="D94" s="467"/>
      <c r="E94" s="467"/>
      <c r="F94" s="467"/>
      <c r="G94" s="467"/>
      <c r="H94" s="467"/>
      <c r="I94" s="467"/>
      <c r="J94" s="467"/>
      <c r="K94" s="467"/>
      <c r="L94" s="467"/>
      <c r="M94" s="467"/>
      <c r="N94" s="467"/>
      <c r="O94" s="467"/>
      <c r="P94" s="467"/>
      <c r="Q94" s="467"/>
      <c r="R94" s="467"/>
      <c r="S94" s="467"/>
      <c r="T94" s="467"/>
      <c r="U94" s="467"/>
      <c r="V94" s="467"/>
      <c r="W94" s="467"/>
      <c r="X94" s="467"/>
      <c r="Y94" s="467"/>
      <c r="Z94" s="467"/>
      <c r="AA94" s="467"/>
      <c r="AB94" s="467"/>
      <c r="AC94" s="467"/>
      <c r="AD94" s="467"/>
      <c r="AE94" s="467"/>
      <c r="AF94" s="467"/>
      <c r="AG94" s="467"/>
      <c r="AH94" s="467"/>
      <c r="AI94" s="467"/>
      <c r="AJ94" s="467"/>
      <c r="AK94" s="467"/>
      <c r="AL94" s="467"/>
      <c r="AM94" s="467"/>
      <c r="AN94" s="467"/>
      <c r="AO94" s="467"/>
      <c r="AP94" s="5"/>
      <c r="AQ94" s="5"/>
      <c r="AR94" s="6"/>
      <c r="AS94" s="20"/>
    </row>
    <row r="95" spans="1:45" ht="12" customHeight="1">
      <c r="A95" s="23"/>
      <c r="B95" s="14"/>
      <c r="C95" s="54"/>
      <c r="D95" s="55"/>
      <c r="E95" s="55"/>
      <c r="F95" s="55"/>
      <c r="G95" s="55"/>
      <c r="H95" s="55"/>
      <c r="I95" s="55"/>
      <c r="J95" s="55"/>
      <c r="K95" s="55"/>
      <c r="L95" s="55"/>
      <c r="M95" s="55"/>
      <c r="N95" s="55"/>
      <c r="O95" s="55"/>
      <c r="P95" s="55"/>
      <c r="Q95" s="55"/>
      <c r="R95" s="55"/>
      <c r="S95" s="55"/>
      <c r="T95" s="55"/>
      <c r="U95" s="55"/>
      <c r="V95" s="55"/>
      <c r="W95" s="55"/>
      <c r="X95" s="55"/>
      <c r="Y95" s="55"/>
      <c r="Z95" s="55"/>
      <c r="AA95" s="55"/>
      <c r="AB95" s="55"/>
      <c r="AC95" s="55"/>
      <c r="AD95" s="55"/>
      <c r="AE95" s="55"/>
      <c r="AF95" s="55"/>
      <c r="AG95" s="55"/>
      <c r="AH95" s="55"/>
      <c r="AI95" s="55"/>
      <c r="AJ95" s="55"/>
      <c r="AK95" s="55"/>
      <c r="AL95" s="55"/>
      <c r="AM95" s="55"/>
      <c r="AN95" s="55"/>
      <c r="AO95" s="55"/>
      <c r="AP95" s="7"/>
      <c r="AQ95" s="7"/>
      <c r="AR95" s="45"/>
      <c r="AS95" s="20"/>
    </row>
    <row r="96" spans="1:45" ht="9.9499999999999993" customHeight="1">
      <c r="A96" s="23"/>
      <c r="B96" s="13"/>
      <c r="C96" s="57"/>
      <c r="D96" s="56"/>
      <c r="E96" s="56"/>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4"/>
      <c r="AQ96" s="4"/>
      <c r="AR96" s="27"/>
      <c r="AS96" s="20"/>
    </row>
    <row r="97" spans="1:45" ht="15.95" customHeight="1">
      <c r="A97" s="23"/>
      <c r="B97" s="49">
        <v>113</v>
      </c>
      <c r="C97" s="38" t="str">
        <f>HLOOKUP($B$1,e!$A$1:$Z$243,B97,FALSE)</f>
        <v>Notas de Entrenamiento</v>
      </c>
      <c r="D97" s="36"/>
      <c r="E97" s="36"/>
      <c r="F97" s="36"/>
      <c r="G97" s="36"/>
      <c r="H97" s="36"/>
      <c r="I97" s="10"/>
      <c r="J97" s="10"/>
      <c r="K97" s="67"/>
      <c r="L97" s="67"/>
      <c r="M97" s="10"/>
      <c r="N97" s="10"/>
      <c r="O97" s="67"/>
      <c r="P97" s="10"/>
      <c r="Q97" s="10"/>
      <c r="R97" s="10"/>
      <c r="S97" s="48"/>
      <c r="T97" s="26">
        <v>114</v>
      </c>
      <c r="U97" s="30" t="str">
        <f>HLOOKUP($B$1,e!$A$1:$Z$243,T97,FALSE)</f>
        <v>información</v>
      </c>
      <c r="V97" s="48"/>
      <c r="W97" s="48"/>
      <c r="X97" s="48"/>
      <c r="Y97" s="48"/>
      <c r="Z97" s="48"/>
      <c r="AA97" s="48"/>
      <c r="AB97" s="48"/>
      <c r="AC97" s="48"/>
      <c r="AD97" s="48"/>
      <c r="AE97" s="48"/>
      <c r="AF97" s="48"/>
      <c r="AG97" s="48"/>
      <c r="AH97" s="48"/>
      <c r="AI97" s="48"/>
      <c r="AJ97" s="48"/>
      <c r="AK97" s="48"/>
      <c r="AL97" s="48"/>
      <c r="AM97" s="48"/>
      <c r="AN97" s="48"/>
      <c r="AO97" s="48"/>
      <c r="AP97" s="5"/>
      <c r="AQ97" s="5"/>
      <c r="AR97" s="6"/>
      <c r="AS97" s="20"/>
    </row>
    <row r="98" spans="1:45" ht="17.25" customHeight="1">
      <c r="A98" s="23"/>
      <c r="B98" s="49">
        <v>115</v>
      </c>
      <c r="C98" s="65" t="str">
        <f>HLOOKUP($B$1,e!$A$1:$Z$243,B98,FALSE)</f>
        <v>Notas de entrenamiento adicionales pueden ser útiles en algunos entornos.</v>
      </c>
      <c r="D98" s="66"/>
      <c r="E98" s="66"/>
      <c r="F98" s="66"/>
      <c r="G98" s="66"/>
      <c r="H98" s="66"/>
      <c r="I98" s="66"/>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48"/>
      <c r="AP98" s="5"/>
      <c r="AQ98" s="5"/>
      <c r="AR98" s="6"/>
      <c r="AS98" s="20"/>
    </row>
    <row r="99" spans="1:45" ht="17.25" customHeight="1">
      <c r="A99" s="23"/>
      <c r="B99" s="49">
        <v>116</v>
      </c>
      <c r="C99" s="65" t="str">
        <f>HLOOKUP($B$1,e!$A$1:$Z$243,B99,FALSE)</f>
        <v>Tanto la persona que está siendo entrenada como el entrenador pueden guardar sus propias notas.</v>
      </c>
      <c r="D99" s="66"/>
      <c r="E99" s="66"/>
      <c r="F99" s="66"/>
      <c r="G99" s="66"/>
      <c r="H99" s="66"/>
      <c r="I99" s="66"/>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48"/>
      <c r="AP99" s="5"/>
      <c r="AQ99" s="5"/>
      <c r="AR99" s="6"/>
      <c r="AS99" s="20"/>
    </row>
    <row r="100" spans="1:45" ht="17.25" customHeight="1">
      <c r="A100" s="23"/>
      <c r="B100" s="49">
        <v>117</v>
      </c>
      <c r="C100" s="65" t="str">
        <f>HLOOKUP($B$1,e!$A$1:$Z$243,B100,FALSE)</f>
        <v>Cada persona que toma notas  surte su propio papel o cuaderno.</v>
      </c>
      <c r="D100" s="66"/>
      <c r="E100" s="66"/>
      <c r="F100" s="66"/>
      <c r="G100" s="6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48"/>
      <c r="AP100" s="5"/>
      <c r="AQ100" s="5"/>
      <c r="AR100" s="6"/>
      <c r="AS100" s="20"/>
    </row>
    <row r="101" spans="1:45" ht="17.25" customHeight="1">
      <c r="A101" s="23"/>
      <c r="B101" s="49">
        <v>118</v>
      </c>
      <c r="C101" s="65" t="str">
        <f>HLOOKUP($B$1,e!$A$1:$Z$243,B101,FALSE)</f>
        <v>Las notas que se tomen sobre el entrenamiento, son confidenciales y no deben estar a la vista de otros.</v>
      </c>
      <c r="D101" s="66"/>
      <c r="E101" s="66"/>
      <c r="F101" s="66"/>
      <c r="G101" s="6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48"/>
      <c r="AP101" s="5"/>
      <c r="AQ101" s="5"/>
      <c r="AR101" s="6"/>
      <c r="AS101" s="20"/>
    </row>
    <row r="102" spans="1:45" ht="15" customHeight="1">
      <c r="A102" s="23"/>
      <c r="B102" s="126" t="str">
        <f>e!A51</f>
        <v>A4</v>
      </c>
      <c r="C102" s="54"/>
      <c r="D102" s="55"/>
      <c r="E102" s="55"/>
      <c r="F102" s="55"/>
      <c r="G102" s="55"/>
      <c r="H102" s="55"/>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M102" s="55"/>
      <c r="AN102" s="55"/>
      <c r="AO102" s="55"/>
      <c r="AP102" s="7"/>
      <c r="AQ102" s="7"/>
      <c r="AR102" s="127" t="str">
        <f>B1</f>
        <v>Español (Spanish) +</v>
      </c>
      <c r="AS102" s="20"/>
    </row>
    <row r="103" spans="1:45" ht="30" customHeight="1">
      <c r="A103" s="24"/>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2"/>
    </row>
    <row r="104" spans="1:45">
      <c r="AC104" s="1"/>
    </row>
    <row r="105" spans="1:45">
      <c r="AC105" s="1"/>
    </row>
    <row r="106" spans="1:45">
      <c r="AC106" s="1"/>
    </row>
    <row r="107" spans="1:45">
      <c r="AC107" s="1"/>
    </row>
    <row r="108" spans="1:45">
      <c r="AC108" s="1"/>
    </row>
    <row r="109" spans="1:45">
      <c r="AC109" s="1"/>
    </row>
    <row r="110" spans="1:45">
      <c r="AC110" s="1"/>
    </row>
    <row r="111" spans="1:45">
      <c r="AC111" s="1"/>
    </row>
    <row r="112" spans="1:45">
      <c r="AC112" s="1"/>
    </row>
    <row r="113" spans="29:29">
      <c r="AC113" s="1"/>
    </row>
    <row r="114" spans="29:29">
      <c r="AC114" s="1"/>
    </row>
    <row r="115" spans="29:29">
      <c r="AC115" s="1"/>
    </row>
    <row r="116" spans="29:29">
      <c r="AC116" s="1"/>
    </row>
    <row r="117" spans="29:29">
      <c r="AC117" s="1"/>
    </row>
    <row r="118" spans="29:29">
      <c r="AC118" s="1"/>
    </row>
    <row r="120" spans="29:29">
      <c r="AC120" s="1"/>
    </row>
  </sheetData>
  <mergeCells count="41">
    <mergeCell ref="B1:J1"/>
    <mergeCell ref="C4:AQ4"/>
    <mergeCell ref="D17:J20"/>
    <mergeCell ref="L17:R20"/>
    <mergeCell ref="T17:Z20"/>
    <mergeCell ref="AB17:AH20"/>
    <mergeCell ref="AJ17:AP20"/>
    <mergeCell ref="D3:AP3"/>
    <mergeCell ref="C5:AQ8"/>
    <mergeCell ref="AL25:AQ26"/>
    <mergeCell ref="AL27:AQ28"/>
    <mergeCell ref="AL29:AQ30"/>
    <mergeCell ref="AL31:AQ32"/>
    <mergeCell ref="C22:AQ24"/>
    <mergeCell ref="D31:AG33"/>
    <mergeCell ref="AL33:AQ34"/>
    <mergeCell ref="D34:AG36"/>
    <mergeCell ref="AL35:AQ36"/>
    <mergeCell ref="AL39:AQ40"/>
    <mergeCell ref="AL41:AQ42"/>
    <mergeCell ref="D37:AG39"/>
    <mergeCell ref="D40:AG41"/>
    <mergeCell ref="C62:AQ63"/>
    <mergeCell ref="C54:AQ55"/>
    <mergeCell ref="C57:AQ58"/>
    <mergeCell ref="C43:AQ45"/>
    <mergeCell ref="AL37:AQ38"/>
    <mergeCell ref="C47:AQ48"/>
    <mergeCell ref="C50:AQ50"/>
    <mergeCell ref="D93:AO94"/>
    <mergeCell ref="D81:AQ83"/>
    <mergeCell ref="D79:AQ80"/>
    <mergeCell ref="D87:AO88"/>
    <mergeCell ref="D89:AO90"/>
    <mergeCell ref="D91:AO92"/>
    <mergeCell ref="D84:AQ85"/>
    <mergeCell ref="C73:AQ74"/>
    <mergeCell ref="C68:AQ69"/>
    <mergeCell ref="C66:AQ67"/>
    <mergeCell ref="C64:AQ65"/>
    <mergeCell ref="D77:AQ78"/>
  </mergeCells>
  <pageMargins left="0.3" right="0.25" top="0.3" bottom="0.3" header="0.3" footer="0.3"/>
  <pageSetup paperSize="9" orientation="portrait" r:id="rId1"/>
  <rowBreaks count="1" manualBreakCount="1">
    <brk id="51"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e!$B$1:$Z$1</xm:f>
          </x14:formula1>
          <xm:sqref>B1:J1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P117"/>
  <sheetViews>
    <sheetView showGridLines="0" showRowColHeaders="0" zoomScaleNormal="100" workbookViewId="0">
      <pane ySplit="1" topLeftCell="A2" activePane="bottomLeft" state="frozen"/>
      <selection activeCell="B1" sqref="B1:J1"/>
      <selection pane="bottomLeft" activeCell="B1" sqref="B1:J1"/>
    </sheetView>
  </sheetViews>
  <sheetFormatPr baseColWidth="10" defaultColWidth="9.140625" defaultRowHeight="15"/>
  <cols>
    <col min="1" max="1" width="6" style="83" customWidth="1"/>
    <col min="2" max="3" width="2.28515625" style="83" customWidth="1"/>
    <col min="4" max="4" width="3.140625" style="83" customWidth="1"/>
    <col min="5" max="5" width="3.28515625" style="83" customWidth="1"/>
    <col min="6" max="38" width="2.28515625" style="83" customWidth="1"/>
    <col min="39" max="40" width="1.85546875" style="83" customWidth="1"/>
    <col min="41" max="41" width="2.28515625" style="83" customWidth="1"/>
    <col min="42" max="42" width="7.140625" style="83" customWidth="1"/>
    <col min="43" max="55" width="2.28515625" style="83" customWidth="1"/>
    <col min="56" max="16384" width="9.140625" style="83"/>
  </cols>
  <sheetData>
    <row r="1" spans="1:42">
      <c r="B1" s="469" t="s">
        <v>1646</v>
      </c>
      <c r="C1" s="470"/>
      <c r="D1" s="470"/>
      <c r="E1" s="470"/>
      <c r="F1" s="470"/>
      <c r="G1" s="470"/>
      <c r="H1" s="470"/>
      <c r="I1" s="470"/>
      <c r="J1" s="471"/>
    </row>
    <row r="2" spans="1:42" ht="23.25" customHeight="1">
      <c r="A2" s="95"/>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7"/>
    </row>
    <row r="3" spans="1:42" s="94" customFormat="1" ht="15" customHeight="1">
      <c r="A3" s="93"/>
      <c r="B3" s="9">
        <v>121</v>
      </c>
      <c r="C3" s="98" t="str">
        <f>HLOOKUP($B$1,e!$A$1:$Z$243,B3,FALSE)</f>
        <v>ENTRENAMIENTO DE MAPEO GENERACIONAL</v>
      </c>
      <c r="D3" s="98"/>
      <c r="E3" s="1"/>
      <c r="F3" s="1"/>
      <c r="G3" s="1"/>
      <c r="H3" s="1"/>
      <c r="I3" s="1"/>
      <c r="J3" s="1"/>
      <c r="K3" s="1"/>
      <c r="L3" s="1"/>
      <c r="M3" s="1"/>
      <c r="N3" s="1"/>
      <c r="O3" s="1"/>
      <c r="P3" s="1"/>
      <c r="Q3" s="1"/>
      <c r="R3" s="1"/>
      <c r="S3" s="1"/>
      <c r="T3" s="1"/>
      <c r="U3" s="1"/>
      <c r="V3" s="1"/>
      <c r="W3" s="1"/>
      <c r="X3" s="1"/>
      <c r="Y3" s="1"/>
      <c r="Z3" s="1"/>
      <c r="AA3" s="1"/>
      <c r="AB3" s="1"/>
      <c r="AC3" s="1"/>
      <c r="AD3" s="1"/>
      <c r="AE3" s="1"/>
      <c r="AF3" s="1"/>
      <c r="AG3" s="1"/>
      <c r="AH3" s="98"/>
      <c r="AI3" s="1"/>
      <c r="AJ3" s="1"/>
      <c r="AK3" s="1"/>
      <c r="AL3" s="1"/>
      <c r="AM3" s="1"/>
      <c r="AN3" s="1"/>
      <c r="AO3" s="1"/>
      <c r="AP3" s="20"/>
    </row>
    <row r="4" spans="1:42" s="88" customFormat="1" ht="18" customHeight="1">
      <c r="A4" s="87"/>
      <c r="B4" s="9">
        <v>122</v>
      </c>
      <c r="C4" s="99" t="str">
        <f>HLOOKUP($B$1,e!$A$1:$Z$243,B4,FALSE)</f>
        <v>Folleto 3: Ejemplos de preguntas de entrenamiento</v>
      </c>
      <c r="D4" s="99"/>
      <c r="E4" s="10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85"/>
    </row>
    <row r="5" spans="1:42" s="88" customFormat="1" ht="2.1" customHeight="1">
      <c r="A5" s="87"/>
      <c r="B5" s="9"/>
      <c r="C5" s="123"/>
      <c r="D5" s="123"/>
      <c r="E5" s="124"/>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125"/>
      <c r="AK5" s="125"/>
      <c r="AL5" s="125"/>
      <c r="AM5" s="125"/>
      <c r="AN5" s="125"/>
      <c r="AO5" s="30"/>
      <c r="AP5" s="85"/>
    </row>
    <row r="6" spans="1:42" s="88" customFormat="1" ht="5.0999999999999996" customHeight="1">
      <c r="A6" s="87"/>
      <c r="B6" s="101"/>
      <c r="C6" s="102"/>
      <c r="D6" s="102"/>
      <c r="E6" s="103"/>
      <c r="F6" s="104"/>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c r="AM6" s="104"/>
      <c r="AN6" s="104"/>
      <c r="AO6" s="30"/>
      <c r="AP6" s="85"/>
    </row>
    <row r="7" spans="1:42" s="88" customFormat="1" ht="15" customHeight="1">
      <c r="A7" s="87"/>
      <c r="B7" s="101"/>
      <c r="C7" s="101"/>
      <c r="D7" s="101"/>
      <c r="E7" s="10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85"/>
    </row>
    <row r="8" spans="1:42" ht="20.25" customHeight="1">
      <c r="A8" s="82"/>
      <c r="B8" s="63"/>
      <c r="C8" s="26">
        <v>123</v>
      </c>
      <c r="D8" s="478" t="str">
        <f>HLOOKUP($B$1,e!$A$1:$Z$243,C8,FALSE)</f>
        <v>Ejemplos de preguntas de entrenamiento</v>
      </c>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120"/>
      <c r="AO8" s="120"/>
      <c r="AP8" s="20"/>
    </row>
    <row r="9" spans="1:42" ht="15" customHeight="1">
      <c r="A9" s="82"/>
      <c r="B9" s="26">
        <v>53</v>
      </c>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20"/>
    </row>
    <row r="10" spans="1:42" ht="15" customHeight="1">
      <c r="A10" s="82"/>
      <c r="B10" s="26">
        <v>124</v>
      </c>
      <c r="C10" s="479" t="str">
        <f>HLOOKUP($B$1,e!$A$1:$Z$243,B10,FALSE)</f>
        <v>Posibles preguntas que debe hacer al completar la Sección 1 Diagrama del Grupo Saludable, de la Herramienta para el  Entrenamiento del Mapeo Generacional :</v>
      </c>
      <c r="D10" s="479"/>
      <c r="E10" s="479"/>
      <c r="F10" s="479"/>
      <c r="G10" s="479"/>
      <c r="H10" s="479"/>
      <c r="I10" s="479"/>
      <c r="J10" s="479"/>
      <c r="K10" s="479"/>
      <c r="L10" s="479"/>
      <c r="M10" s="479"/>
      <c r="N10" s="479"/>
      <c r="O10" s="479"/>
      <c r="P10" s="479"/>
      <c r="Q10" s="479"/>
      <c r="R10" s="479"/>
      <c r="S10" s="479"/>
      <c r="T10" s="479"/>
      <c r="U10" s="479"/>
      <c r="V10" s="479"/>
      <c r="W10" s="479"/>
      <c r="X10" s="479"/>
      <c r="Y10" s="479"/>
      <c r="Z10" s="479"/>
      <c r="AA10" s="479"/>
      <c r="AB10" s="479"/>
      <c r="AC10" s="479"/>
      <c r="AD10" s="479"/>
      <c r="AE10" s="479"/>
      <c r="AF10" s="479"/>
      <c r="AG10" s="479"/>
      <c r="AH10" s="479"/>
      <c r="AI10" s="479"/>
      <c r="AJ10" s="479"/>
      <c r="AK10" s="479"/>
      <c r="AL10" s="479"/>
      <c r="AM10" s="479"/>
      <c r="AN10" s="479"/>
      <c r="AO10" s="121"/>
      <c r="AP10" s="20"/>
    </row>
    <row r="11" spans="1:42" ht="15" customHeight="1">
      <c r="A11" s="82"/>
      <c r="B11" s="26"/>
      <c r="C11" s="479"/>
      <c r="D11" s="479"/>
      <c r="E11" s="479"/>
      <c r="F11" s="479"/>
      <c r="G11" s="479"/>
      <c r="H11" s="479"/>
      <c r="I11" s="479"/>
      <c r="J11" s="479"/>
      <c r="K11" s="479"/>
      <c r="L11" s="479"/>
      <c r="M11" s="479"/>
      <c r="N11" s="479"/>
      <c r="O11" s="479"/>
      <c r="P11" s="479"/>
      <c r="Q11" s="479"/>
      <c r="R11" s="479"/>
      <c r="S11" s="479"/>
      <c r="T11" s="479"/>
      <c r="U11" s="479"/>
      <c r="V11" s="479"/>
      <c r="W11" s="479"/>
      <c r="X11" s="479"/>
      <c r="Y11" s="479"/>
      <c r="Z11" s="479"/>
      <c r="AA11" s="479"/>
      <c r="AB11" s="479"/>
      <c r="AC11" s="479"/>
      <c r="AD11" s="479"/>
      <c r="AE11" s="479"/>
      <c r="AF11" s="479"/>
      <c r="AG11" s="479"/>
      <c r="AH11" s="479"/>
      <c r="AI11" s="479"/>
      <c r="AJ11" s="479"/>
      <c r="AK11" s="479"/>
      <c r="AL11" s="479"/>
      <c r="AM11" s="479"/>
      <c r="AN11" s="479"/>
      <c r="AO11" s="121"/>
      <c r="AP11" s="20"/>
    </row>
    <row r="12" spans="1:42" ht="15" customHeight="1">
      <c r="A12" s="82"/>
      <c r="B12" s="26"/>
      <c r="C12" s="479"/>
      <c r="D12" s="479"/>
      <c r="E12" s="479"/>
      <c r="F12" s="479"/>
      <c r="G12" s="479"/>
      <c r="H12" s="479"/>
      <c r="I12" s="479"/>
      <c r="J12" s="479"/>
      <c r="K12" s="479"/>
      <c r="L12" s="479"/>
      <c r="M12" s="479"/>
      <c r="N12" s="479"/>
      <c r="O12" s="479"/>
      <c r="P12" s="479"/>
      <c r="Q12" s="479"/>
      <c r="R12" s="479"/>
      <c r="S12" s="479"/>
      <c r="T12" s="479"/>
      <c r="U12" s="479"/>
      <c r="V12" s="479"/>
      <c r="W12" s="479"/>
      <c r="X12" s="479"/>
      <c r="Y12" s="479"/>
      <c r="Z12" s="479"/>
      <c r="AA12" s="479"/>
      <c r="AB12" s="479"/>
      <c r="AC12" s="479"/>
      <c r="AD12" s="479"/>
      <c r="AE12" s="479"/>
      <c r="AF12" s="479"/>
      <c r="AG12" s="479"/>
      <c r="AH12" s="479"/>
      <c r="AI12" s="479"/>
      <c r="AJ12" s="479"/>
      <c r="AK12" s="479"/>
      <c r="AL12" s="479"/>
      <c r="AM12" s="479"/>
      <c r="AN12" s="479"/>
      <c r="AO12" s="121"/>
      <c r="AP12" s="20"/>
    </row>
    <row r="13" spans="1:42" ht="15" customHeight="1">
      <c r="A13" s="82"/>
      <c r="B13" s="26"/>
      <c r="C13" s="479"/>
      <c r="D13" s="479"/>
      <c r="E13" s="479"/>
      <c r="F13" s="479"/>
      <c r="G13" s="479"/>
      <c r="H13" s="479"/>
      <c r="I13" s="479"/>
      <c r="J13" s="479"/>
      <c r="K13" s="479"/>
      <c r="L13" s="479"/>
      <c r="M13" s="479"/>
      <c r="N13" s="479"/>
      <c r="O13" s="479"/>
      <c r="P13" s="479"/>
      <c r="Q13" s="479"/>
      <c r="R13" s="479"/>
      <c r="S13" s="479"/>
      <c r="T13" s="479"/>
      <c r="U13" s="479"/>
      <c r="V13" s="479"/>
      <c r="W13" s="479"/>
      <c r="X13" s="479"/>
      <c r="Y13" s="479"/>
      <c r="Z13" s="479"/>
      <c r="AA13" s="479"/>
      <c r="AB13" s="479"/>
      <c r="AC13" s="479"/>
      <c r="AD13" s="479"/>
      <c r="AE13" s="479"/>
      <c r="AF13" s="479"/>
      <c r="AG13" s="479"/>
      <c r="AH13" s="479"/>
      <c r="AI13" s="479"/>
      <c r="AJ13" s="479"/>
      <c r="AK13" s="479"/>
      <c r="AL13" s="479"/>
      <c r="AM13" s="479"/>
      <c r="AN13" s="479"/>
      <c r="AO13" s="121"/>
      <c r="AP13" s="20"/>
    </row>
    <row r="14" spans="1:42" s="88" customFormat="1" ht="15" customHeight="1">
      <c r="A14" s="87"/>
      <c r="B14" s="101">
        <v>125</v>
      </c>
      <c r="C14" s="101">
        <v>139</v>
      </c>
      <c r="D14" s="105" t="str">
        <f>HLOOKUP($B$1,e!$A$1:$Z$243,B14,FALSE)</f>
        <v>A.</v>
      </c>
      <c r="E14" s="37" t="str">
        <f>HLOOKUP($B$1,e!$A$1:$Z$243,C14,FALSE)</f>
        <v>Parte superior de la Sección Uno:</v>
      </c>
      <c r="F14" s="30"/>
      <c r="G14" s="30"/>
      <c r="H14" s="30"/>
      <c r="I14" s="30"/>
      <c r="J14" s="30"/>
      <c r="K14" s="30"/>
      <c r="L14" s="30"/>
      <c r="M14" s="30"/>
      <c r="N14" s="30"/>
      <c r="O14" s="30"/>
      <c r="P14" s="30"/>
      <c r="Q14" s="106"/>
      <c r="R14" s="106"/>
      <c r="S14" s="106"/>
      <c r="T14" s="106"/>
      <c r="U14" s="106"/>
      <c r="V14" s="106"/>
      <c r="W14" s="106"/>
      <c r="X14" s="106"/>
      <c r="Y14" s="106"/>
      <c r="Z14" s="106"/>
      <c r="AA14" s="106"/>
      <c r="AB14" s="106"/>
      <c r="AC14" s="106"/>
      <c r="AD14" s="106"/>
      <c r="AE14" s="106"/>
      <c r="AF14" s="106"/>
      <c r="AG14" s="106"/>
      <c r="AH14" s="106"/>
      <c r="AI14" s="106"/>
      <c r="AJ14" s="106"/>
      <c r="AK14" s="106"/>
      <c r="AL14" s="106"/>
      <c r="AM14" s="106"/>
      <c r="AN14" s="106"/>
      <c r="AO14" s="106"/>
      <c r="AP14" s="85"/>
    </row>
    <row r="15" spans="1:42" s="86" customFormat="1" ht="15" customHeight="1">
      <c r="A15" s="84"/>
      <c r="B15" s="101"/>
      <c r="C15" s="30"/>
      <c r="D15" s="30"/>
      <c r="E15" s="30"/>
      <c r="F15" s="30"/>
      <c r="G15" s="30"/>
      <c r="H15" s="30"/>
      <c r="I15" s="30"/>
      <c r="J15" s="30"/>
      <c r="K15" s="30"/>
      <c r="L15" s="30"/>
      <c r="M15" s="30"/>
      <c r="N15" s="30"/>
      <c r="O15" s="30"/>
      <c r="P15" s="107"/>
      <c r="Q15" s="106"/>
      <c r="R15" s="106"/>
      <c r="S15" s="106"/>
      <c r="T15" s="106"/>
      <c r="U15" s="106"/>
      <c r="V15" s="106"/>
      <c r="W15" s="106"/>
      <c r="X15" s="106"/>
      <c r="Y15" s="106"/>
      <c r="Z15" s="106"/>
      <c r="AA15" s="106"/>
      <c r="AB15" s="106"/>
      <c r="AC15" s="106"/>
      <c r="AD15" s="106"/>
      <c r="AE15" s="106"/>
      <c r="AF15" s="106"/>
      <c r="AG15" s="106"/>
      <c r="AH15" s="106"/>
      <c r="AI15" s="106"/>
      <c r="AJ15" s="106"/>
      <c r="AK15" s="106"/>
      <c r="AL15" s="106"/>
      <c r="AM15" s="106"/>
      <c r="AN15" s="106"/>
      <c r="AO15" s="106"/>
      <c r="AP15" s="85"/>
    </row>
    <row r="16" spans="1:42" s="88" customFormat="1" ht="15" customHeight="1">
      <c r="A16" s="87"/>
      <c r="B16" s="101">
        <v>128</v>
      </c>
      <c r="C16" s="101">
        <v>140</v>
      </c>
      <c r="D16" s="101"/>
      <c r="E16" s="108" t="str">
        <f>HLOOKUP($B$1,e!$A$1:$Z$243,B16,FALSE)</f>
        <v>1.</v>
      </c>
      <c r="F16" s="476" t="str">
        <f>HLOOKUP($B$1,e!$A$1:$Z$243,C16,FALSE)</f>
        <v>¿Cuántas personas están asistiendo a su grupo ahora?</v>
      </c>
      <c r="G16" s="476"/>
      <c r="H16" s="476"/>
      <c r="I16" s="476"/>
      <c r="J16" s="476"/>
      <c r="K16" s="476"/>
      <c r="L16" s="476"/>
      <c r="M16" s="476"/>
      <c r="N16" s="476"/>
      <c r="O16" s="476"/>
      <c r="P16" s="476"/>
      <c r="Q16" s="476"/>
      <c r="R16" s="476"/>
      <c r="S16" s="476"/>
      <c r="T16" s="476"/>
      <c r="U16" s="476"/>
      <c r="V16" s="476"/>
      <c r="W16" s="476"/>
      <c r="X16" s="476"/>
      <c r="Y16" s="476"/>
      <c r="Z16" s="476"/>
      <c r="AA16" s="476"/>
      <c r="AB16" s="476"/>
      <c r="AC16" s="476"/>
      <c r="AD16" s="476"/>
      <c r="AE16" s="476"/>
      <c r="AF16" s="476"/>
      <c r="AG16" s="476"/>
      <c r="AH16" s="476"/>
      <c r="AI16" s="476"/>
      <c r="AJ16" s="476"/>
      <c r="AK16" s="476"/>
      <c r="AL16" s="476"/>
      <c r="AM16" s="476"/>
      <c r="AN16" s="476"/>
      <c r="AO16" s="47"/>
      <c r="AP16" s="85"/>
    </row>
    <row r="17" spans="1:42" s="88" customFormat="1" ht="15" customHeight="1">
      <c r="A17" s="87"/>
      <c r="B17" s="101">
        <v>129</v>
      </c>
      <c r="C17" s="101">
        <v>141</v>
      </c>
      <c r="D17" s="101"/>
      <c r="E17" s="109" t="str">
        <f>HLOOKUP($B$1,e!$A$1:$Z$243,B17,FALSE)</f>
        <v>2.</v>
      </c>
      <c r="F17" s="477" t="str">
        <f>HLOOKUP($B$1,e!$A$1:$Z$243,C17,FALSE)</f>
        <v>¿Cuántos son creyentes en el grupo? ¿Cuántos se convirtieron en el último período (por ejemplo, tres meses)?</v>
      </c>
      <c r="G17" s="477"/>
      <c r="H17" s="477"/>
      <c r="I17" s="477"/>
      <c r="J17" s="477"/>
      <c r="K17" s="477"/>
      <c r="L17" s="477"/>
      <c r="M17" s="477"/>
      <c r="N17" s="477"/>
      <c r="O17" s="477"/>
      <c r="P17" s="477"/>
      <c r="Q17" s="477"/>
      <c r="R17" s="477"/>
      <c r="S17" s="477"/>
      <c r="T17" s="477"/>
      <c r="U17" s="477"/>
      <c r="V17" s="477"/>
      <c r="W17" s="477"/>
      <c r="X17" s="477"/>
      <c r="Y17" s="477"/>
      <c r="Z17" s="477"/>
      <c r="AA17" s="477"/>
      <c r="AB17" s="477"/>
      <c r="AC17" s="477"/>
      <c r="AD17" s="477"/>
      <c r="AE17" s="477"/>
      <c r="AF17" s="477"/>
      <c r="AG17" s="477"/>
      <c r="AH17" s="477"/>
      <c r="AI17" s="477"/>
      <c r="AJ17" s="477"/>
      <c r="AK17" s="477"/>
      <c r="AL17" s="477"/>
      <c r="AM17" s="477"/>
      <c r="AN17" s="477"/>
      <c r="AO17" s="122"/>
      <c r="AP17" s="85"/>
    </row>
    <row r="18" spans="1:42" s="88" customFormat="1" ht="15" customHeight="1">
      <c r="A18" s="87"/>
      <c r="B18" s="101"/>
      <c r="C18" s="101"/>
      <c r="D18" s="101"/>
      <c r="E18" s="109"/>
      <c r="F18" s="477"/>
      <c r="G18" s="477"/>
      <c r="H18" s="477"/>
      <c r="I18" s="477"/>
      <c r="J18" s="477"/>
      <c r="K18" s="477"/>
      <c r="L18" s="477"/>
      <c r="M18" s="477"/>
      <c r="N18" s="477"/>
      <c r="O18" s="477"/>
      <c r="P18" s="477"/>
      <c r="Q18" s="477"/>
      <c r="R18" s="477"/>
      <c r="S18" s="477"/>
      <c r="T18" s="477"/>
      <c r="U18" s="477"/>
      <c r="V18" s="477"/>
      <c r="W18" s="477"/>
      <c r="X18" s="477"/>
      <c r="Y18" s="477"/>
      <c r="Z18" s="477"/>
      <c r="AA18" s="477"/>
      <c r="AB18" s="477"/>
      <c r="AC18" s="477"/>
      <c r="AD18" s="477"/>
      <c r="AE18" s="477"/>
      <c r="AF18" s="477"/>
      <c r="AG18" s="477"/>
      <c r="AH18" s="477"/>
      <c r="AI18" s="477"/>
      <c r="AJ18" s="477"/>
      <c r="AK18" s="477"/>
      <c r="AL18" s="477"/>
      <c r="AM18" s="477"/>
      <c r="AN18" s="477"/>
      <c r="AO18" s="122"/>
      <c r="AP18" s="85"/>
    </row>
    <row r="19" spans="1:42" s="88" customFormat="1" ht="15" customHeight="1">
      <c r="A19" s="87"/>
      <c r="B19" s="101">
        <v>130</v>
      </c>
      <c r="C19" s="101">
        <v>142</v>
      </c>
      <c r="D19" s="101"/>
      <c r="E19" s="109" t="str">
        <f>HLOOKUP($B$1,e!$A$1:$Z$243,B19,FALSE)</f>
        <v>3.</v>
      </c>
      <c r="F19" s="477" t="str">
        <f>HLOOKUP($B$1,e!$A$1:$Z$243,C19,FALSE)</f>
        <v>¿Cuántos son creyentes bautizados en el grupo? ¿Cuántos fueron bautizados en el último período (por ejemplo, tres meses)?</v>
      </c>
      <c r="G19" s="477"/>
      <c r="H19" s="477"/>
      <c r="I19" s="477"/>
      <c r="J19" s="477"/>
      <c r="K19" s="477"/>
      <c r="L19" s="477"/>
      <c r="M19" s="477"/>
      <c r="N19" s="477"/>
      <c r="O19" s="477"/>
      <c r="P19" s="477"/>
      <c r="Q19" s="477"/>
      <c r="R19" s="477"/>
      <c r="S19" s="477"/>
      <c r="T19" s="477"/>
      <c r="U19" s="477"/>
      <c r="V19" s="477"/>
      <c r="W19" s="477"/>
      <c r="X19" s="477"/>
      <c r="Y19" s="477"/>
      <c r="Z19" s="477"/>
      <c r="AA19" s="477"/>
      <c r="AB19" s="477"/>
      <c r="AC19" s="477"/>
      <c r="AD19" s="477"/>
      <c r="AE19" s="477"/>
      <c r="AF19" s="477"/>
      <c r="AG19" s="477"/>
      <c r="AH19" s="477"/>
      <c r="AI19" s="477"/>
      <c r="AJ19" s="477"/>
      <c r="AK19" s="477"/>
      <c r="AL19" s="477"/>
      <c r="AM19" s="477"/>
      <c r="AN19" s="477"/>
      <c r="AO19" s="122"/>
      <c r="AP19" s="85"/>
    </row>
    <row r="20" spans="1:42" s="88" customFormat="1" ht="15" customHeight="1">
      <c r="A20" s="87"/>
      <c r="B20" s="101"/>
      <c r="C20" s="101"/>
      <c r="D20" s="101"/>
      <c r="E20" s="109"/>
      <c r="F20" s="477"/>
      <c r="G20" s="477"/>
      <c r="H20" s="477"/>
      <c r="I20" s="477"/>
      <c r="J20" s="477"/>
      <c r="K20" s="477"/>
      <c r="L20" s="477"/>
      <c r="M20" s="477"/>
      <c r="N20" s="477"/>
      <c r="O20" s="477"/>
      <c r="P20" s="477"/>
      <c r="Q20" s="477"/>
      <c r="R20" s="477"/>
      <c r="S20" s="477"/>
      <c r="T20" s="477"/>
      <c r="U20" s="477"/>
      <c r="V20" s="477"/>
      <c r="W20" s="477"/>
      <c r="X20" s="477"/>
      <c r="Y20" s="477"/>
      <c r="Z20" s="477"/>
      <c r="AA20" s="477"/>
      <c r="AB20" s="477"/>
      <c r="AC20" s="477"/>
      <c r="AD20" s="477"/>
      <c r="AE20" s="477"/>
      <c r="AF20" s="477"/>
      <c r="AG20" s="477"/>
      <c r="AH20" s="477"/>
      <c r="AI20" s="477"/>
      <c r="AJ20" s="477"/>
      <c r="AK20" s="477"/>
      <c r="AL20" s="477"/>
      <c r="AM20" s="477"/>
      <c r="AN20" s="477"/>
      <c r="AO20" s="122"/>
      <c r="AP20" s="85"/>
    </row>
    <row r="21" spans="1:42" ht="15" customHeight="1">
      <c r="A21" s="82"/>
      <c r="B21" s="101"/>
      <c r="C21" s="101"/>
      <c r="D21" s="101"/>
      <c r="E21" s="36"/>
      <c r="F21" s="36"/>
      <c r="G21" s="36"/>
      <c r="H21" s="36"/>
      <c r="I21" s="36"/>
      <c r="J21" s="36"/>
      <c r="K21" s="36"/>
      <c r="L21" s="36"/>
      <c r="M21" s="36"/>
      <c r="N21" s="36"/>
      <c r="O21" s="36"/>
      <c r="P21" s="63"/>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20"/>
    </row>
    <row r="22" spans="1:42" s="88" customFormat="1" ht="15" customHeight="1">
      <c r="A22" s="87"/>
      <c r="B22" s="101">
        <v>126</v>
      </c>
      <c r="C22" s="101">
        <v>143</v>
      </c>
      <c r="D22" s="105" t="str">
        <f>HLOOKUP($B$1,e!$A$1:$Z$243,B22,FALSE)</f>
        <v>B.</v>
      </c>
      <c r="E22" s="37" t="str">
        <f>HLOOKUP($B$1,e!$A$1:$Z$243,C22,FALSE)</f>
        <v>Centro de la Sección Uno:</v>
      </c>
      <c r="F22" s="30"/>
      <c r="G22" s="30"/>
      <c r="H22" s="30"/>
      <c r="I22" s="30"/>
      <c r="J22" s="30"/>
      <c r="K22" s="30"/>
      <c r="L22" s="30"/>
      <c r="M22" s="30"/>
      <c r="N22" s="30"/>
      <c r="O22" s="30"/>
      <c r="P22" s="30"/>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85"/>
    </row>
    <row r="23" spans="1:42" ht="15" customHeight="1">
      <c r="A23" s="82"/>
      <c r="B23" s="26"/>
      <c r="C23" s="30"/>
      <c r="D23" s="30"/>
      <c r="E23" s="36"/>
      <c r="F23" s="36"/>
      <c r="G23" s="36"/>
      <c r="H23" s="36"/>
      <c r="I23" s="36"/>
      <c r="J23" s="36"/>
      <c r="K23" s="36"/>
      <c r="L23" s="36"/>
      <c r="M23" s="36"/>
      <c r="N23" s="36"/>
      <c r="O23" s="36"/>
      <c r="P23" s="63"/>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20"/>
    </row>
    <row r="24" spans="1:42" ht="15" customHeight="1">
      <c r="A24" s="82"/>
      <c r="B24" s="101">
        <v>128</v>
      </c>
      <c r="C24" s="101">
        <v>144</v>
      </c>
      <c r="D24" s="101"/>
      <c r="E24" s="108" t="str">
        <f>HLOOKUP($B$1,e!$A$1:$Z$243,B24,FALSE)</f>
        <v>1.</v>
      </c>
      <c r="F24" s="477" t="str">
        <f>HLOOKUP($B$1,e!$A$1:$Z$243,C24,FALSE)</f>
        <v>¿El grupo se ha comprometido o se ha reunido para ser una iglesia del Nuevo Testamento completamente funcional? Si es así, haz que el círculo sea sólido. Si no, mantén el círculo en una línea discontinua.</v>
      </c>
      <c r="G24" s="477"/>
      <c r="H24" s="477"/>
      <c r="I24" s="477"/>
      <c r="J24" s="477"/>
      <c r="K24" s="477"/>
      <c r="L24" s="477"/>
      <c r="M24" s="477"/>
      <c r="N24" s="477"/>
      <c r="O24" s="477"/>
      <c r="P24" s="477"/>
      <c r="Q24" s="477"/>
      <c r="R24" s="477"/>
      <c r="S24" s="477"/>
      <c r="T24" s="477"/>
      <c r="U24" s="477"/>
      <c r="V24" s="477"/>
      <c r="W24" s="477"/>
      <c r="X24" s="477"/>
      <c r="Y24" s="477"/>
      <c r="Z24" s="477"/>
      <c r="AA24" s="477"/>
      <c r="AB24" s="477"/>
      <c r="AC24" s="477"/>
      <c r="AD24" s="477"/>
      <c r="AE24" s="477"/>
      <c r="AF24" s="477"/>
      <c r="AG24" s="477"/>
      <c r="AH24" s="477"/>
      <c r="AI24" s="477"/>
      <c r="AJ24" s="477"/>
      <c r="AK24" s="477"/>
      <c r="AL24" s="477"/>
      <c r="AM24" s="477"/>
      <c r="AN24" s="477"/>
      <c r="AO24" s="122"/>
      <c r="AP24" s="20"/>
    </row>
    <row r="25" spans="1:42" ht="15" customHeight="1">
      <c r="A25" s="82"/>
      <c r="B25" s="26"/>
      <c r="C25" s="30"/>
      <c r="D25" s="30"/>
      <c r="E25" s="108"/>
      <c r="F25" s="477"/>
      <c r="G25" s="477"/>
      <c r="H25" s="477"/>
      <c r="I25" s="477"/>
      <c r="J25" s="477"/>
      <c r="K25" s="477"/>
      <c r="L25" s="477"/>
      <c r="M25" s="477"/>
      <c r="N25" s="477"/>
      <c r="O25" s="477"/>
      <c r="P25" s="477"/>
      <c r="Q25" s="477"/>
      <c r="R25" s="477"/>
      <c r="S25" s="477"/>
      <c r="T25" s="477"/>
      <c r="U25" s="477"/>
      <c r="V25" s="477"/>
      <c r="W25" s="477"/>
      <c r="X25" s="477"/>
      <c r="Y25" s="477"/>
      <c r="Z25" s="477"/>
      <c r="AA25" s="477"/>
      <c r="AB25" s="477"/>
      <c r="AC25" s="477"/>
      <c r="AD25" s="477"/>
      <c r="AE25" s="477"/>
      <c r="AF25" s="477"/>
      <c r="AG25" s="477"/>
      <c r="AH25" s="477"/>
      <c r="AI25" s="477"/>
      <c r="AJ25" s="477"/>
      <c r="AK25" s="477"/>
      <c r="AL25" s="477"/>
      <c r="AM25" s="477"/>
      <c r="AN25" s="477"/>
      <c r="AO25" s="122"/>
      <c r="AP25" s="20"/>
    </row>
    <row r="26" spans="1:42" ht="15" customHeight="1">
      <c r="A26" s="82"/>
      <c r="B26" s="26"/>
      <c r="C26" s="30"/>
      <c r="D26" s="30"/>
      <c r="E26" s="108"/>
      <c r="F26" s="477"/>
      <c r="G26" s="477"/>
      <c r="H26" s="477"/>
      <c r="I26" s="477"/>
      <c r="J26" s="477"/>
      <c r="K26" s="477"/>
      <c r="L26" s="477"/>
      <c r="M26" s="477"/>
      <c r="N26" s="477"/>
      <c r="O26" s="477"/>
      <c r="P26" s="477"/>
      <c r="Q26" s="477"/>
      <c r="R26" s="477"/>
      <c r="S26" s="477"/>
      <c r="T26" s="477"/>
      <c r="U26" s="477"/>
      <c r="V26" s="477"/>
      <c r="W26" s="477"/>
      <c r="X26" s="477"/>
      <c r="Y26" s="477"/>
      <c r="Z26" s="477"/>
      <c r="AA26" s="477"/>
      <c r="AB26" s="477"/>
      <c r="AC26" s="477"/>
      <c r="AD26" s="477"/>
      <c r="AE26" s="477"/>
      <c r="AF26" s="477"/>
      <c r="AG26" s="477"/>
      <c r="AH26" s="477"/>
      <c r="AI26" s="477"/>
      <c r="AJ26" s="477"/>
      <c r="AK26" s="477"/>
      <c r="AL26" s="477"/>
      <c r="AM26" s="477"/>
      <c r="AN26" s="477"/>
      <c r="AO26" s="122"/>
      <c r="AP26" s="20"/>
    </row>
    <row r="27" spans="1:42" ht="15" hidden="1" customHeight="1">
      <c r="A27" s="82"/>
      <c r="B27" s="26"/>
      <c r="C27" s="30"/>
      <c r="D27" s="30"/>
      <c r="E27" s="108"/>
      <c r="F27" s="122"/>
      <c r="G27" s="122"/>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122"/>
      <c r="AI27" s="122"/>
      <c r="AJ27" s="122"/>
      <c r="AK27" s="122"/>
      <c r="AL27" s="122"/>
      <c r="AM27" s="122"/>
      <c r="AN27" s="122"/>
      <c r="AO27" s="122"/>
      <c r="AP27" s="20"/>
    </row>
    <row r="28" spans="1:42" ht="15" customHeight="1">
      <c r="A28" s="82"/>
      <c r="B28" s="101">
        <v>129</v>
      </c>
      <c r="C28" s="101">
        <v>145</v>
      </c>
      <c r="D28" s="101"/>
      <c r="E28" s="108" t="str">
        <f>HLOOKUP($B$1,e!$A$1:$Z$243,B28,FALSE)</f>
        <v>2.</v>
      </c>
      <c r="F28" s="477" t="str">
        <f>HLOOKUP($B$1,e!$A$1:$Z$243,C28,FALSE)</f>
        <v>¿Cuál(es) de las nueve funciones de una iglesia del Nuevo Testamento practican regularmente los miembros de su grupo sin ninguna ayuda externa? Cuando el sembrador de iglesias identifique las funciones, circule cada una dentro del círculo más grande. Circule luego, dentro de las funcione que están fuera del círculo más grande, las que el grupo no está practicando por su cuenta, pero sí tienen otra forma de participar en esta función, pero si los miembros del grupo no tienen una forma de participar en esa función con regularidad, no las circule.</v>
      </c>
      <c r="G28" s="477"/>
      <c r="H28" s="477"/>
      <c r="I28" s="477"/>
      <c r="J28" s="477"/>
      <c r="K28" s="477"/>
      <c r="L28" s="477"/>
      <c r="M28" s="477"/>
      <c r="N28" s="477"/>
      <c r="O28" s="477"/>
      <c r="P28" s="477"/>
      <c r="Q28" s="477"/>
      <c r="R28" s="477"/>
      <c r="S28" s="477"/>
      <c r="T28" s="477"/>
      <c r="U28" s="477"/>
      <c r="V28" s="477"/>
      <c r="W28" s="477"/>
      <c r="X28" s="477"/>
      <c r="Y28" s="477"/>
      <c r="Z28" s="477"/>
      <c r="AA28" s="477"/>
      <c r="AB28" s="477"/>
      <c r="AC28" s="477"/>
      <c r="AD28" s="477"/>
      <c r="AE28" s="477"/>
      <c r="AF28" s="477"/>
      <c r="AG28" s="477"/>
      <c r="AH28" s="477"/>
      <c r="AI28" s="477"/>
      <c r="AJ28" s="477"/>
      <c r="AK28" s="477"/>
      <c r="AL28" s="477"/>
      <c r="AM28" s="477"/>
      <c r="AN28" s="477"/>
      <c r="AO28" s="122"/>
      <c r="AP28" s="20"/>
    </row>
    <row r="29" spans="1:42" ht="15" customHeight="1">
      <c r="A29" s="82"/>
      <c r="B29" s="26"/>
      <c r="C29" s="30"/>
      <c r="D29" s="30"/>
      <c r="E29" s="108"/>
      <c r="F29" s="477"/>
      <c r="G29" s="477"/>
      <c r="H29" s="477"/>
      <c r="I29" s="477"/>
      <c r="J29" s="477"/>
      <c r="K29" s="477"/>
      <c r="L29" s="477"/>
      <c r="M29" s="477"/>
      <c r="N29" s="477"/>
      <c r="O29" s="477"/>
      <c r="P29" s="477"/>
      <c r="Q29" s="477"/>
      <c r="R29" s="477"/>
      <c r="S29" s="477"/>
      <c r="T29" s="477"/>
      <c r="U29" s="477"/>
      <c r="V29" s="477"/>
      <c r="W29" s="477"/>
      <c r="X29" s="477"/>
      <c r="Y29" s="477"/>
      <c r="Z29" s="477"/>
      <c r="AA29" s="477"/>
      <c r="AB29" s="477"/>
      <c r="AC29" s="477"/>
      <c r="AD29" s="477"/>
      <c r="AE29" s="477"/>
      <c r="AF29" s="477"/>
      <c r="AG29" s="477"/>
      <c r="AH29" s="477"/>
      <c r="AI29" s="477"/>
      <c r="AJ29" s="477"/>
      <c r="AK29" s="477"/>
      <c r="AL29" s="477"/>
      <c r="AM29" s="477"/>
      <c r="AN29" s="477"/>
      <c r="AO29" s="122"/>
      <c r="AP29" s="20"/>
    </row>
    <row r="30" spans="1:42" ht="15" customHeight="1">
      <c r="A30" s="82"/>
      <c r="B30" s="26"/>
      <c r="C30" s="30"/>
      <c r="D30" s="30"/>
      <c r="E30" s="108"/>
      <c r="F30" s="477"/>
      <c r="G30" s="477"/>
      <c r="H30" s="477"/>
      <c r="I30" s="477"/>
      <c r="J30" s="477"/>
      <c r="K30" s="477"/>
      <c r="L30" s="477"/>
      <c r="M30" s="477"/>
      <c r="N30" s="477"/>
      <c r="O30" s="477"/>
      <c r="P30" s="477"/>
      <c r="Q30" s="477"/>
      <c r="R30" s="477"/>
      <c r="S30" s="477"/>
      <c r="T30" s="477"/>
      <c r="U30" s="477"/>
      <c r="V30" s="477"/>
      <c r="W30" s="477"/>
      <c r="X30" s="477"/>
      <c r="Y30" s="477"/>
      <c r="Z30" s="477"/>
      <c r="AA30" s="477"/>
      <c r="AB30" s="477"/>
      <c r="AC30" s="477"/>
      <c r="AD30" s="477"/>
      <c r="AE30" s="477"/>
      <c r="AF30" s="477"/>
      <c r="AG30" s="477"/>
      <c r="AH30" s="477"/>
      <c r="AI30" s="477"/>
      <c r="AJ30" s="477"/>
      <c r="AK30" s="477"/>
      <c r="AL30" s="477"/>
      <c r="AM30" s="477"/>
      <c r="AN30" s="477"/>
      <c r="AO30" s="122"/>
      <c r="AP30" s="20"/>
    </row>
    <row r="31" spans="1:42" ht="15" customHeight="1">
      <c r="A31" s="82"/>
      <c r="B31" s="26"/>
      <c r="C31" s="30"/>
      <c r="D31" s="30"/>
      <c r="E31" s="108"/>
      <c r="F31" s="477"/>
      <c r="G31" s="477"/>
      <c r="H31" s="477"/>
      <c r="I31" s="477"/>
      <c r="J31" s="477"/>
      <c r="K31" s="477"/>
      <c r="L31" s="477"/>
      <c r="M31" s="477"/>
      <c r="N31" s="477"/>
      <c r="O31" s="477"/>
      <c r="P31" s="477"/>
      <c r="Q31" s="477"/>
      <c r="R31" s="477"/>
      <c r="S31" s="477"/>
      <c r="T31" s="477"/>
      <c r="U31" s="477"/>
      <c r="V31" s="477"/>
      <c r="W31" s="477"/>
      <c r="X31" s="477"/>
      <c r="Y31" s="477"/>
      <c r="Z31" s="477"/>
      <c r="AA31" s="477"/>
      <c r="AB31" s="477"/>
      <c r="AC31" s="477"/>
      <c r="AD31" s="477"/>
      <c r="AE31" s="477"/>
      <c r="AF31" s="477"/>
      <c r="AG31" s="477"/>
      <c r="AH31" s="477"/>
      <c r="AI31" s="477"/>
      <c r="AJ31" s="477"/>
      <c r="AK31" s="477"/>
      <c r="AL31" s="477"/>
      <c r="AM31" s="477"/>
      <c r="AN31" s="477"/>
      <c r="AO31" s="122"/>
      <c r="AP31" s="20"/>
    </row>
    <row r="32" spans="1:42" ht="15" customHeight="1">
      <c r="A32" s="82"/>
      <c r="B32" s="26"/>
      <c r="C32" s="30"/>
      <c r="D32" s="30"/>
      <c r="E32" s="108"/>
      <c r="F32" s="477"/>
      <c r="G32" s="477"/>
      <c r="H32" s="477"/>
      <c r="I32" s="477"/>
      <c r="J32" s="477"/>
      <c r="K32" s="477"/>
      <c r="L32" s="477"/>
      <c r="M32" s="477"/>
      <c r="N32" s="477"/>
      <c r="O32" s="477"/>
      <c r="P32" s="477"/>
      <c r="Q32" s="477"/>
      <c r="R32" s="477"/>
      <c r="S32" s="477"/>
      <c r="T32" s="477"/>
      <c r="U32" s="477"/>
      <c r="V32" s="477"/>
      <c r="W32" s="477"/>
      <c r="X32" s="477"/>
      <c r="Y32" s="477"/>
      <c r="Z32" s="477"/>
      <c r="AA32" s="477"/>
      <c r="AB32" s="477"/>
      <c r="AC32" s="477"/>
      <c r="AD32" s="477"/>
      <c r="AE32" s="477"/>
      <c r="AF32" s="477"/>
      <c r="AG32" s="477"/>
      <c r="AH32" s="477"/>
      <c r="AI32" s="477"/>
      <c r="AJ32" s="477"/>
      <c r="AK32" s="477"/>
      <c r="AL32" s="477"/>
      <c r="AM32" s="477"/>
      <c r="AN32" s="477"/>
      <c r="AO32" s="122"/>
      <c r="AP32" s="20"/>
    </row>
    <row r="33" spans="1:42" ht="15" customHeight="1">
      <c r="A33" s="82"/>
      <c r="B33" s="26"/>
      <c r="C33" s="30"/>
      <c r="D33" s="30"/>
      <c r="E33" s="108"/>
      <c r="F33" s="477"/>
      <c r="G33" s="477"/>
      <c r="H33" s="477"/>
      <c r="I33" s="477"/>
      <c r="J33" s="477"/>
      <c r="K33" s="477"/>
      <c r="L33" s="477"/>
      <c r="M33" s="477"/>
      <c r="N33" s="477"/>
      <c r="O33" s="477"/>
      <c r="P33" s="477"/>
      <c r="Q33" s="477"/>
      <c r="R33" s="477"/>
      <c r="S33" s="477"/>
      <c r="T33" s="477"/>
      <c r="U33" s="477"/>
      <c r="V33" s="477"/>
      <c r="W33" s="477"/>
      <c r="X33" s="477"/>
      <c r="Y33" s="477"/>
      <c r="Z33" s="477"/>
      <c r="AA33" s="477"/>
      <c r="AB33" s="477"/>
      <c r="AC33" s="477"/>
      <c r="AD33" s="477"/>
      <c r="AE33" s="477"/>
      <c r="AF33" s="477"/>
      <c r="AG33" s="477"/>
      <c r="AH33" s="477"/>
      <c r="AI33" s="477"/>
      <c r="AJ33" s="477"/>
      <c r="AK33" s="477"/>
      <c r="AL33" s="477"/>
      <c r="AM33" s="477"/>
      <c r="AN33" s="477"/>
      <c r="AO33" s="122"/>
      <c r="AP33" s="20"/>
    </row>
    <row r="34" spans="1:42" ht="15" customHeight="1">
      <c r="A34" s="82"/>
      <c r="B34" s="26"/>
      <c r="C34" s="30"/>
      <c r="D34" s="30"/>
      <c r="E34" s="108"/>
      <c r="F34" s="477"/>
      <c r="G34" s="477"/>
      <c r="H34" s="477"/>
      <c r="I34" s="477"/>
      <c r="J34" s="477"/>
      <c r="K34" s="477"/>
      <c r="L34" s="477"/>
      <c r="M34" s="477"/>
      <c r="N34" s="477"/>
      <c r="O34" s="477"/>
      <c r="P34" s="477"/>
      <c r="Q34" s="477"/>
      <c r="R34" s="477"/>
      <c r="S34" s="477"/>
      <c r="T34" s="477"/>
      <c r="U34" s="477"/>
      <c r="V34" s="477"/>
      <c r="W34" s="477"/>
      <c r="X34" s="477"/>
      <c r="Y34" s="477"/>
      <c r="Z34" s="477"/>
      <c r="AA34" s="477"/>
      <c r="AB34" s="477"/>
      <c r="AC34" s="477"/>
      <c r="AD34" s="477"/>
      <c r="AE34" s="477"/>
      <c r="AF34" s="477"/>
      <c r="AG34" s="477"/>
      <c r="AH34" s="477"/>
      <c r="AI34" s="477"/>
      <c r="AJ34" s="477"/>
      <c r="AK34" s="477"/>
      <c r="AL34" s="477"/>
      <c r="AM34" s="477"/>
      <c r="AN34" s="477"/>
      <c r="AO34" s="122"/>
      <c r="AP34" s="20"/>
    </row>
    <row r="35" spans="1:42" ht="15" hidden="1" customHeight="1">
      <c r="A35" s="82"/>
      <c r="B35" s="26"/>
      <c r="C35" s="30"/>
      <c r="D35" s="30"/>
      <c r="E35" s="108"/>
      <c r="F35" s="477"/>
      <c r="G35" s="477"/>
      <c r="H35" s="477"/>
      <c r="I35" s="477"/>
      <c r="J35" s="477"/>
      <c r="K35" s="477"/>
      <c r="L35" s="477"/>
      <c r="M35" s="477"/>
      <c r="N35" s="477"/>
      <c r="O35" s="477"/>
      <c r="P35" s="477"/>
      <c r="Q35" s="477"/>
      <c r="R35" s="477"/>
      <c r="S35" s="477"/>
      <c r="T35" s="477"/>
      <c r="U35" s="477"/>
      <c r="V35" s="477"/>
      <c r="W35" s="477"/>
      <c r="X35" s="477"/>
      <c r="Y35" s="477"/>
      <c r="Z35" s="477"/>
      <c r="AA35" s="477"/>
      <c r="AB35" s="477"/>
      <c r="AC35" s="477"/>
      <c r="AD35" s="477"/>
      <c r="AE35" s="477"/>
      <c r="AF35" s="477"/>
      <c r="AG35" s="477"/>
      <c r="AH35" s="477"/>
      <c r="AI35" s="477"/>
      <c r="AJ35" s="477"/>
      <c r="AK35" s="477"/>
      <c r="AL35" s="477"/>
      <c r="AM35" s="477"/>
      <c r="AN35" s="477"/>
      <c r="AO35" s="122"/>
      <c r="AP35" s="20"/>
    </row>
    <row r="36" spans="1:42" ht="15" customHeight="1">
      <c r="A36" s="82"/>
      <c r="B36" s="101">
        <v>130</v>
      </c>
      <c r="C36" s="101">
        <v>146</v>
      </c>
      <c r="D36" s="101"/>
      <c r="E36" s="108" t="str">
        <f>HLOOKUP($B$1,e!$A$1:$Z$243,B36,FALSE)</f>
        <v>3.</v>
      </c>
      <c r="F36" s="477" t="str">
        <f>HLOOKUP($B$1,e!$A$1:$Z$243,C36,FALSE)</f>
        <v>¿Qué tan efectiva calificaría usted la manera en que el grupo está realizando esta función? Si funciona de manera saludable, circúlela con una línea continua; Si el grupo necesita trabajar en esta función, circule la actividad con una línea discontinua.</v>
      </c>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122"/>
      <c r="AP36" s="20"/>
    </row>
    <row r="37" spans="1:42" ht="15" customHeight="1">
      <c r="A37" s="82"/>
      <c r="B37" s="26"/>
      <c r="C37" s="30"/>
      <c r="D37" s="30"/>
      <c r="E37" s="47"/>
      <c r="F37" s="477"/>
      <c r="G37" s="477"/>
      <c r="H37" s="477"/>
      <c r="I37" s="477"/>
      <c r="J37" s="477"/>
      <c r="K37" s="477"/>
      <c r="L37" s="477"/>
      <c r="M37" s="477"/>
      <c r="N37" s="477"/>
      <c r="O37" s="477"/>
      <c r="P37" s="477"/>
      <c r="Q37" s="477"/>
      <c r="R37" s="477"/>
      <c r="S37" s="477"/>
      <c r="T37" s="477"/>
      <c r="U37" s="477"/>
      <c r="V37" s="477"/>
      <c r="W37" s="477"/>
      <c r="X37" s="477"/>
      <c r="Y37" s="477"/>
      <c r="Z37" s="477"/>
      <c r="AA37" s="477"/>
      <c r="AB37" s="477"/>
      <c r="AC37" s="477"/>
      <c r="AD37" s="477"/>
      <c r="AE37" s="477"/>
      <c r="AF37" s="477"/>
      <c r="AG37" s="477"/>
      <c r="AH37" s="477"/>
      <c r="AI37" s="477"/>
      <c r="AJ37" s="477"/>
      <c r="AK37" s="477"/>
      <c r="AL37" s="477"/>
      <c r="AM37" s="477"/>
      <c r="AN37" s="477"/>
      <c r="AO37" s="122"/>
      <c r="AP37" s="20"/>
    </row>
    <row r="38" spans="1:42" ht="15" customHeight="1">
      <c r="A38" s="82"/>
      <c r="B38" s="26"/>
      <c r="C38" s="30"/>
      <c r="D38" s="30"/>
      <c r="E38" s="47"/>
      <c r="F38" s="477"/>
      <c r="G38" s="477"/>
      <c r="H38" s="477"/>
      <c r="I38" s="477"/>
      <c r="J38" s="477"/>
      <c r="K38" s="477"/>
      <c r="L38" s="477"/>
      <c r="M38" s="477"/>
      <c r="N38" s="477"/>
      <c r="O38" s="477"/>
      <c r="P38" s="477"/>
      <c r="Q38" s="477"/>
      <c r="R38" s="477"/>
      <c r="S38" s="477"/>
      <c r="T38" s="477"/>
      <c r="U38" s="477"/>
      <c r="V38" s="477"/>
      <c r="W38" s="477"/>
      <c r="X38" s="477"/>
      <c r="Y38" s="477"/>
      <c r="Z38" s="477"/>
      <c r="AA38" s="477"/>
      <c r="AB38" s="477"/>
      <c r="AC38" s="477"/>
      <c r="AD38" s="477"/>
      <c r="AE38" s="477"/>
      <c r="AF38" s="477"/>
      <c r="AG38" s="477"/>
      <c r="AH38" s="477"/>
      <c r="AI38" s="477"/>
      <c r="AJ38" s="477"/>
      <c r="AK38" s="477"/>
      <c r="AL38" s="477"/>
      <c r="AM38" s="477"/>
      <c r="AN38" s="477"/>
      <c r="AO38" s="122"/>
      <c r="AP38" s="20"/>
    </row>
    <row r="39" spans="1:42" ht="15" customHeight="1">
      <c r="A39" s="82"/>
      <c r="B39" s="26"/>
      <c r="C39" s="30"/>
      <c r="D39" s="30"/>
      <c r="E39" s="36"/>
      <c r="F39" s="477"/>
      <c r="G39" s="477"/>
      <c r="H39" s="477"/>
      <c r="I39" s="477"/>
      <c r="J39" s="477"/>
      <c r="K39" s="477"/>
      <c r="L39" s="477"/>
      <c r="M39" s="477"/>
      <c r="N39" s="477"/>
      <c r="O39" s="477"/>
      <c r="P39" s="477"/>
      <c r="Q39" s="477"/>
      <c r="R39" s="477"/>
      <c r="S39" s="477"/>
      <c r="T39" s="477"/>
      <c r="U39" s="477"/>
      <c r="V39" s="477"/>
      <c r="W39" s="477"/>
      <c r="X39" s="477"/>
      <c r="Y39" s="477"/>
      <c r="Z39" s="477"/>
      <c r="AA39" s="477"/>
      <c r="AB39" s="477"/>
      <c r="AC39" s="477"/>
      <c r="AD39" s="477"/>
      <c r="AE39" s="477"/>
      <c r="AF39" s="477"/>
      <c r="AG39" s="477"/>
      <c r="AH39" s="477"/>
      <c r="AI39" s="477"/>
      <c r="AJ39" s="477"/>
      <c r="AK39" s="477"/>
      <c r="AL39" s="477"/>
      <c r="AM39" s="477"/>
      <c r="AN39" s="477"/>
      <c r="AO39" s="122"/>
      <c r="AP39" s="20"/>
    </row>
    <row r="40" spans="1:42" ht="15" customHeight="1">
      <c r="A40" s="82"/>
      <c r="B40" s="26"/>
      <c r="C40" s="30"/>
      <c r="D40" s="30"/>
      <c r="E40" s="36"/>
      <c r="F40" s="36"/>
      <c r="G40" s="36"/>
      <c r="H40" s="36"/>
      <c r="I40" s="36"/>
      <c r="J40" s="36"/>
      <c r="K40" s="36"/>
      <c r="L40" s="36"/>
      <c r="M40" s="36"/>
      <c r="N40" s="36"/>
      <c r="O40" s="36"/>
      <c r="P40" s="63"/>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20"/>
    </row>
    <row r="41" spans="1:42" ht="15" customHeight="1">
      <c r="A41" s="82"/>
      <c r="B41" s="26">
        <v>147</v>
      </c>
      <c r="C41" s="479" t="str">
        <f>HLOOKUP($B$1,e!$A$1:$Z$243,B41,FALSE)</f>
        <v>Posibles preguntas que debe hacer al completar las secciones 2 y 3, Detalles y Metas respectivamente, de la Herramienta para el Entrenamiento del Mapeo Generacional:</v>
      </c>
      <c r="D41" s="479"/>
      <c r="E41" s="479"/>
      <c r="F41" s="479"/>
      <c r="G41" s="479"/>
      <c r="H41" s="479"/>
      <c r="I41" s="479"/>
      <c r="J41" s="479"/>
      <c r="K41" s="479"/>
      <c r="L41" s="479"/>
      <c r="M41" s="479"/>
      <c r="N41" s="479"/>
      <c r="O41" s="479"/>
      <c r="P41" s="479"/>
      <c r="Q41" s="479"/>
      <c r="R41" s="479"/>
      <c r="S41" s="479"/>
      <c r="T41" s="479"/>
      <c r="U41" s="479"/>
      <c r="V41" s="479"/>
      <c r="W41" s="479"/>
      <c r="X41" s="479"/>
      <c r="Y41" s="479"/>
      <c r="Z41" s="479"/>
      <c r="AA41" s="479"/>
      <c r="AB41" s="479"/>
      <c r="AC41" s="479"/>
      <c r="AD41" s="479"/>
      <c r="AE41" s="479"/>
      <c r="AF41" s="479"/>
      <c r="AG41" s="479"/>
      <c r="AH41" s="479"/>
      <c r="AI41" s="479"/>
      <c r="AJ41" s="479"/>
      <c r="AK41" s="479"/>
      <c r="AL41" s="479"/>
      <c r="AM41" s="479"/>
      <c r="AN41" s="479"/>
      <c r="AO41" s="121"/>
      <c r="AP41" s="20"/>
    </row>
    <row r="42" spans="1:42" ht="15" customHeight="1">
      <c r="A42" s="82"/>
      <c r="B42" s="26"/>
      <c r="C42" s="479"/>
      <c r="D42" s="479"/>
      <c r="E42" s="479"/>
      <c r="F42" s="479"/>
      <c r="G42" s="479"/>
      <c r="H42" s="479"/>
      <c r="I42" s="479"/>
      <c r="J42" s="479"/>
      <c r="K42" s="479"/>
      <c r="L42" s="479"/>
      <c r="M42" s="479"/>
      <c r="N42" s="479"/>
      <c r="O42" s="479"/>
      <c r="P42" s="479"/>
      <c r="Q42" s="479"/>
      <c r="R42" s="479"/>
      <c r="S42" s="479"/>
      <c r="T42" s="479"/>
      <c r="U42" s="479"/>
      <c r="V42" s="479"/>
      <c r="W42" s="479"/>
      <c r="X42" s="479"/>
      <c r="Y42" s="479"/>
      <c r="Z42" s="479"/>
      <c r="AA42" s="479"/>
      <c r="AB42" s="479"/>
      <c r="AC42" s="479"/>
      <c r="AD42" s="479"/>
      <c r="AE42" s="479"/>
      <c r="AF42" s="479"/>
      <c r="AG42" s="479"/>
      <c r="AH42" s="479"/>
      <c r="AI42" s="479"/>
      <c r="AJ42" s="479"/>
      <c r="AK42" s="479"/>
      <c r="AL42" s="479"/>
      <c r="AM42" s="479"/>
      <c r="AN42" s="479"/>
      <c r="AO42" s="121"/>
      <c r="AP42" s="20"/>
    </row>
    <row r="43" spans="1:42" ht="15" customHeight="1">
      <c r="A43" s="82"/>
      <c r="B43" s="26"/>
      <c r="C43" s="479"/>
      <c r="D43" s="479"/>
      <c r="E43" s="479"/>
      <c r="F43" s="479"/>
      <c r="G43" s="479"/>
      <c r="H43" s="479"/>
      <c r="I43" s="479"/>
      <c r="J43" s="479"/>
      <c r="K43" s="479"/>
      <c r="L43" s="479"/>
      <c r="M43" s="479"/>
      <c r="N43" s="479"/>
      <c r="O43" s="479"/>
      <c r="P43" s="479"/>
      <c r="Q43" s="479"/>
      <c r="R43" s="479"/>
      <c r="S43" s="479"/>
      <c r="T43" s="479"/>
      <c r="U43" s="479"/>
      <c r="V43" s="479"/>
      <c r="W43" s="479"/>
      <c r="X43" s="479"/>
      <c r="Y43" s="479"/>
      <c r="Z43" s="479"/>
      <c r="AA43" s="479"/>
      <c r="AB43" s="479"/>
      <c r="AC43" s="479"/>
      <c r="AD43" s="479"/>
      <c r="AE43" s="479"/>
      <c r="AF43" s="479"/>
      <c r="AG43" s="479"/>
      <c r="AH43" s="479"/>
      <c r="AI43" s="479"/>
      <c r="AJ43" s="479"/>
      <c r="AK43" s="479"/>
      <c r="AL43" s="479"/>
      <c r="AM43" s="479"/>
      <c r="AN43" s="479"/>
      <c r="AO43" s="121"/>
      <c r="AP43" s="20"/>
    </row>
    <row r="44" spans="1:42" ht="15" customHeight="1">
      <c r="A44" s="82"/>
      <c r="B44" s="26"/>
      <c r="C44" s="479"/>
      <c r="D44" s="479"/>
      <c r="E44" s="479"/>
      <c r="F44" s="479"/>
      <c r="G44" s="479"/>
      <c r="H44" s="479"/>
      <c r="I44" s="479"/>
      <c r="J44" s="479"/>
      <c r="K44" s="479"/>
      <c r="L44" s="479"/>
      <c r="M44" s="479"/>
      <c r="N44" s="479"/>
      <c r="O44" s="479"/>
      <c r="P44" s="479"/>
      <c r="Q44" s="479"/>
      <c r="R44" s="479"/>
      <c r="S44" s="479"/>
      <c r="T44" s="479"/>
      <c r="U44" s="479"/>
      <c r="V44" s="479"/>
      <c r="W44" s="479"/>
      <c r="X44" s="479"/>
      <c r="Y44" s="479"/>
      <c r="Z44" s="479"/>
      <c r="AA44" s="479"/>
      <c r="AB44" s="479"/>
      <c r="AC44" s="479"/>
      <c r="AD44" s="479"/>
      <c r="AE44" s="479"/>
      <c r="AF44" s="479"/>
      <c r="AG44" s="479"/>
      <c r="AH44" s="479"/>
      <c r="AI44" s="479"/>
      <c r="AJ44" s="479"/>
      <c r="AK44" s="479"/>
      <c r="AL44" s="479"/>
      <c r="AM44" s="479"/>
      <c r="AN44" s="479"/>
      <c r="AO44" s="121"/>
      <c r="AP44" s="20"/>
    </row>
    <row r="45" spans="1:42" s="88" customFormat="1" ht="15" customHeight="1">
      <c r="A45" s="87"/>
      <c r="B45" s="101">
        <v>125</v>
      </c>
      <c r="C45" s="101">
        <v>148</v>
      </c>
      <c r="D45" s="105" t="str">
        <f>HLOOKUP($B$1,e!$A$1:$Z$243,B45,FALSE)</f>
        <v>A.</v>
      </c>
      <c r="E45" s="37" t="str">
        <f>HLOOKUP($B$1,e!$A$1:$Z$243,C45,FALSE)</f>
        <v>Sección Dos:</v>
      </c>
      <c r="F45" s="30"/>
      <c r="G45" s="30"/>
      <c r="H45" s="30"/>
      <c r="I45" s="30"/>
      <c r="J45" s="30"/>
      <c r="K45" s="30"/>
      <c r="L45" s="30"/>
      <c r="M45" s="30"/>
      <c r="N45" s="30"/>
      <c r="O45" s="30"/>
      <c r="P45" s="30"/>
      <c r="Q45" s="106"/>
      <c r="R45" s="106"/>
      <c r="S45" s="106"/>
      <c r="T45" s="106"/>
      <c r="U45" s="106"/>
      <c r="V45" s="106"/>
      <c r="W45" s="106"/>
      <c r="X45" s="106"/>
      <c r="Y45" s="106"/>
      <c r="Z45" s="106"/>
      <c r="AA45" s="106"/>
      <c r="AB45" s="106"/>
      <c r="AC45" s="106"/>
      <c r="AD45" s="106"/>
      <c r="AE45" s="106"/>
      <c r="AF45" s="106"/>
      <c r="AG45" s="106"/>
      <c r="AH45" s="106"/>
      <c r="AI45" s="106"/>
      <c r="AJ45" s="106"/>
      <c r="AK45" s="106"/>
      <c r="AL45" s="106"/>
      <c r="AM45" s="106"/>
      <c r="AN45" s="106"/>
      <c r="AO45" s="106"/>
      <c r="AP45" s="85"/>
    </row>
    <row r="46" spans="1:42" s="88" customFormat="1" ht="15" customHeight="1">
      <c r="A46" s="87"/>
      <c r="B46" s="101"/>
      <c r="C46" s="101"/>
      <c r="D46" s="105"/>
      <c r="E46" s="37"/>
      <c r="F46" s="30"/>
      <c r="G46" s="30"/>
      <c r="H46" s="30"/>
      <c r="I46" s="30"/>
      <c r="J46" s="30"/>
      <c r="K46" s="30"/>
      <c r="L46" s="30"/>
      <c r="M46" s="30"/>
      <c r="N46" s="30"/>
      <c r="O46" s="30"/>
      <c r="P46" s="30"/>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85"/>
    </row>
    <row r="47" spans="1:42" s="90" customFormat="1" ht="15" customHeight="1">
      <c r="A47" s="89"/>
      <c r="B47" s="111">
        <v>128</v>
      </c>
      <c r="C47" s="111">
        <v>149</v>
      </c>
      <c r="D47" s="111"/>
      <c r="E47" s="112" t="str">
        <f>HLOOKUP($B$1,e!$A$1:$Z$243,B47,FALSE)</f>
        <v>1.</v>
      </c>
      <c r="F47" s="477" t="str">
        <f>HLOOKUP($B$1,e!$A$1:$Z$243,C47,FALSE)</f>
        <v>¿Qué está haciendo su grupo para esta función? (Hágase esta pregunta para cada función que el grupo esté haciendo)</v>
      </c>
      <c r="G47" s="477"/>
      <c r="H47" s="477"/>
      <c r="I47" s="477"/>
      <c r="J47" s="477"/>
      <c r="K47" s="477"/>
      <c r="L47" s="477"/>
      <c r="M47" s="477"/>
      <c r="N47" s="477"/>
      <c r="O47" s="477"/>
      <c r="P47" s="477"/>
      <c r="Q47" s="477"/>
      <c r="R47" s="477"/>
      <c r="S47" s="477"/>
      <c r="T47" s="477"/>
      <c r="U47" s="477"/>
      <c r="V47" s="477"/>
      <c r="W47" s="477"/>
      <c r="X47" s="477"/>
      <c r="Y47" s="477"/>
      <c r="Z47" s="477"/>
      <c r="AA47" s="477"/>
      <c r="AB47" s="477"/>
      <c r="AC47" s="477"/>
      <c r="AD47" s="477"/>
      <c r="AE47" s="477"/>
      <c r="AF47" s="477"/>
      <c r="AG47" s="477"/>
      <c r="AH47" s="477"/>
      <c r="AI47" s="477"/>
      <c r="AJ47" s="477"/>
      <c r="AK47" s="477"/>
      <c r="AL47" s="477"/>
      <c r="AM47" s="477"/>
      <c r="AN47" s="477"/>
      <c r="AO47" s="122"/>
      <c r="AP47" s="91"/>
    </row>
    <row r="48" spans="1:42" s="90" customFormat="1" ht="15" customHeight="1">
      <c r="A48" s="89"/>
      <c r="B48" s="111"/>
      <c r="C48" s="111"/>
      <c r="D48" s="111"/>
      <c r="E48" s="112"/>
      <c r="F48" s="477"/>
      <c r="G48" s="477"/>
      <c r="H48" s="477"/>
      <c r="I48" s="477"/>
      <c r="J48" s="477"/>
      <c r="K48" s="477"/>
      <c r="L48" s="477"/>
      <c r="M48" s="477"/>
      <c r="N48" s="477"/>
      <c r="O48" s="477"/>
      <c r="P48" s="477"/>
      <c r="Q48" s="477"/>
      <c r="R48" s="477"/>
      <c r="S48" s="477"/>
      <c r="T48" s="477"/>
      <c r="U48" s="477"/>
      <c r="V48" s="477"/>
      <c r="W48" s="477"/>
      <c r="X48" s="477"/>
      <c r="Y48" s="477"/>
      <c r="Z48" s="477"/>
      <c r="AA48" s="477"/>
      <c r="AB48" s="477"/>
      <c r="AC48" s="477"/>
      <c r="AD48" s="477"/>
      <c r="AE48" s="477"/>
      <c r="AF48" s="477"/>
      <c r="AG48" s="477"/>
      <c r="AH48" s="477"/>
      <c r="AI48" s="477"/>
      <c r="AJ48" s="477"/>
      <c r="AK48" s="477"/>
      <c r="AL48" s="477"/>
      <c r="AM48" s="477"/>
      <c r="AN48" s="477"/>
      <c r="AO48" s="122"/>
      <c r="AP48" s="91"/>
    </row>
    <row r="49" spans="1:42" s="90" customFormat="1" ht="15" customHeight="1">
      <c r="A49" s="89"/>
      <c r="B49" s="111">
        <v>129</v>
      </c>
      <c r="C49" s="111">
        <v>150</v>
      </c>
      <c r="D49" s="111"/>
      <c r="E49" s="112" t="str">
        <f>HLOOKUP($B$1,e!$A$1:$Z$243,B49,FALSE)</f>
        <v>2.</v>
      </c>
      <c r="F49" s="477" t="str">
        <f>HLOOKUP($B$1,e!$A$1:$Z$243,C49,FALSE)</f>
        <v>Usted indicó, al dibujar una línea discontinua, que el grupo necesita crecer en la realizaciòn de esa función. ¿Qué se necesitaría para cambiar la función a una línea sólida?</v>
      </c>
      <c r="G49" s="477"/>
      <c r="H49" s="477"/>
      <c r="I49" s="477"/>
      <c r="J49" s="477"/>
      <c r="K49" s="477"/>
      <c r="L49" s="477"/>
      <c r="M49" s="477"/>
      <c r="N49" s="477"/>
      <c r="O49" s="477"/>
      <c r="P49" s="477"/>
      <c r="Q49" s="477"/>
      <c r="R49" s="477"/>
      <c r="S49" s="477"/>
      <c r="T49" s="477"/>
      <c r="U49" s="477"/>
      <c r="V49" s="477"/>
      <c r="W49" s="477"/>
      <c r="X49" s="477"/>
      <c r="Y49" s="477"/>
      <c r="Z49" s="477"/>
      <c r="AA49" s="477"/>
      <c r="AB49" s="477"/>
      <c r="AC49" s="477"/>
      <c r="AD49" s="477"/>
      <c r="AE49" s="477"/>
      <c r="AF49" s="477"/>
      <c r="AG49" s="477"/>
      <c r="AH49" s="477"/>
      <c r="AI49" s="477"/>
      <c r="AJ49" s="477"/>
      <c r="AK49" s="477"/>
      <c r="AL49" s="477"/>
      <c r="AM49" s="477"/>
      <c r="AN49" s="477"/>
      <c r="AO49" s="122"/>
      <c r="AP49" s="91"/>
    </row>
    <row r="50" spans="1:42" s="90" customFormat="1" ht="15" customHeight="1">
      <c r="A50" s="89"/>
      <c r="B50" s="111"/>
      <c r="C50" s="111"/>
      <c r="D50" s="111"/>
      <c r="E50" s="112"/>
      <c r="F50" s="477"/>
      <c r="G50" s="477"/>
      <c r="H50" s="477"/>
      <c r="I50" s="477"/>
      <c r="J50" s="477"/>
      <c r="K50" s="477"/>
      <c r="L50" s="477"/>
      <c r="M50" s="477"/>
      <c r="N50" s="477"/>
      <c r="O50" s="477"/>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477"/>
      <c r="AM50" s="477"/>
      <c r="AN50" s="477"/>
      <c r="AO50" s="122"/>
      <c r="AP50" s="91"/>
    </row>
    <row r="51" spans="1:42" s="90" customFormat="1" ht="15" customHeight="1">
      <c r="A51" s="89"/>
      <c r="B51" s="111">
        <v>130</v>
      </c>
      <c r="C51" s="111">
        <v>151</v>
      </c>
      <c r="D51" s="111"/>
      <c r="E51" s="112" t="str">
        <f>HLOOKUP($B$1,e!$A$1:$Z$243,B51,FALSE)</f>
        <v>3.</v>
      </c>
      <c r="F51" s="477" t="str">
        <f>HLOOKUP($B$1,e!$A$1:$Z$243,C51,FALSE)</f>
        <v>¿Cómo podría entrenar o capacitar al grupo para que sea más efectivo en esta función? ¿Cuándo se podría hacer esto?</v>
      </c>
      <c r="G51" s="477"/>
      <c r="H51" s="477"/>
      <c r="I51" s="477"/>
      <c r="J51" s="477"/>
      <c r="K51" s="477"/>
      <c r="L51" s="477"/>
      <c r="M51" s="477"/>
      <c r="N51" s="477"/>
      <c r="O51" s="477"/>
      <c r="P51" s="477"/>
      <c r="Q51" s="477"/>
      <c r="R51" s="477"/>
      <c r="S51" s="477"/>
      <c r="T51" s="477"/>
      <c r="U51" s="477"/>
      <c r="V51" s="477"/>
      <c r="W51" s="477"/>
      <c r="X51" s="477"/>
      <c r="Y51" s="477"/>
      <c r="Z51" s="477"/>
      <c r="AA51" s="477"/>
      <c r="AB51" s="477"/>
      <c r="AC51" s="477"/>
      <c r="AD51" s="477"/>
      <c r="AE51" s="477"/>
      <c r="AF51" s="477"/>
      <c r="AG51" s="477"/>
      <c r="AH51" s="477"/>
      <c r="AI51" s="477"/>
      <c r="AJ51" s="477"/>
      <c r="AK51" s="477"/>
      <c r="AL51" s="477"/>
      <c r="AM51" s="477"/>
      <c r="AN51" s="477"/>
      <c r="AO51" s="122"/>
      <c r="AP51" s="91"/>
    </row>
    <row r="52" spans="1:42" s="90" customFormat="1" ht="15" customHeight="1">
      <c r="A52" s="89"/>
      <c r="B52" s="111"/>
      <c r="C52" s="111"/>
      <c r="D52" s="111"/>
      <c r="E52" s="112"/>
      <c r="F52" s="477"/>
      <c r="G52" s="477"/>
      <c r="H52" s="477"/>
      <c r="I52" s="477"/>
      <c r="J52" s="477"/>
      <c r="K52" s="477"/>
      <c r="L52" s="477"/>
      <c r="M52" s="477"/>
      <c r="N52" s="477"/>
      <c r="O52" s="477"/>
      <c r="P52" s="477"/>
      <c r="Q52" s="477"/>
      <c r="R52" s="477"/>
      <c r="S52" s="477"/>
      <c r="T52" s="477"/>
      <c r="U52" s="477"/>
      <c r="V52" s="477"/>
      <c r="W52" s="477"/>
      <c r="X52" s="477"/>
      <c r="Y52" s="477"/>
      <c r="Z52" s="477"/>
      <c r="AA52" s="477"/>
      <c r="AB52" s="477"/>
      <c r="AC52" s="477"/>
      <c r="AD52" s="477"/>
      <c r="AE52" s="477"/>
      <c r="AF52" s="477"/>
      <c r="AG52" s="477"/>
      <c r="AH52" s="477"/>
      <c r="AI52" s="477"/>
      <c r="AJ52" s="477"/>
      <c r="AK52" s="477"/>
      <c r="AL52" s="477"/>
      <c r="AM52" s="477"/>
      <c r="AN52" s="477"/>
      <c r="AO52" s="122"/>
      <c r="AP52" s="91"/>
    </row>
    <row r="53" spans="1:42" s="90" customFormat="1" ht="15" customHeight="1">
      <c r="A53" s="89"/>
      <c r="B53" s="111"/>
      <c r="C53" s="111"/>
      <c r="D53" s="111"/>
      <c r="E53" s="112"/>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91"/>
    </row>
    <row r="54" spans="1:42" s="90" customFormat="1" ht="15" customHeight="1">
      <c r="A54" s="89"/>
      <c r="B54" s="111"/>
      <c r="C54" s="111"/>
      <c r="D54" s="111"/>
      <c r="E54" s="112"/>
      <c r="F54" s="113"/>
      <c r="G54" s="113"/>
      <c r="H54" s="113"/>
      <c r="I54" s="113"/>
      <c r="J54" s="113"/>
      <c r="K54" s="113"/>
      <c r="L54" s="113"/>
      <c r="M54" s="113"/>
      <c r="N54" s="113"/>
      <c r="O54" s="113"/>
      <c r="P54" s="113"/>
      <c r="Q54" s="113"/>
      <c r="R54" s="113"/>
      <c r="S54" s="113"/>
      <c r="T54" s="113"/>
      <c r="U54" s="113"/>
      <c r="V54" s="113"/>
      <c r="W54" s="113"/>
      <c r="X54" s="113"/>
      <c r="Y54" s="113"/>
      <c r="Z54" s="113"/>
      <c r="AA54" s="113"/>
      <c r="AB54" s="113"/>
      <c r="AC54" s="113"/>
      <c r="AD54" s="113"/>
      <c r="AE54" s="113"/>
      <c r="AF54" s="113"/>
      <c r="AG54" s="113"/>
      <c r="AH54" s="113"/>
      <c r="AI54" s="113"/>
      <c r="AJ54" s="113"/>
      <c r="AK54" s="113"/>
      <c r="AL54" s="113"/>
      <c r="AM54" s="113"/>
      <c r="AN54" s="113"/>
      <c r="AO54" s="113"/>
      <c r="AP54" s="91"/>
    </row>
    <row r="55" spans="1:42" s="90" customFormat="1" ht="15" customHeight="1">
      <c r="A55" s="89"/>
      <c r="B55" s="111"/>
      <c r="C55" s="111"/>
      <c r="D55" s="111"/>
      <c r="E55" s="112"/>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91"/>
    </row>
    <row r="56" spans="1:42" s="90" customFormat="1" ht="15" customHeight="1">
      <c r="A56" s="89"/>
      <c r="B56" s="101">
        <v>125</v>
      </c>
      <c r="C56" s="101">
        <v>148</v>
      </c>
      <c r="D56" s="105"/>
      <c r="E56" s="114" t="str">
        <f>"("&amp;HLOOKUP($B$1,e!$A$1:$Z$243,C56,FALSE)&amp;")"</f>
        <v>(Sección Dos:)</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91"/>
    </row>
    <row r="57" spans="1:42" s="90" customFormat="1" ht="15" customHeight="1">
      <c r="A57" s="89"/>
      <c r="B57" s="111"/>
      <c r="C57" s="111"/>
      <c r="D57" s="111"/>
      <c r="E57" s="112"/>
      <c r="F57" s="113"/>
      <c r="G57" s="113"/>
      <c r="H57" s="113"/>
      <c r="I57" s="113"/>
      <c r="J57" s="113"/>
      <c r="K57" s="113"/>
      <c r="L57" s="113"/>
      <c r="M57" s="113"/>
      <c r="N57" s="113"/>
      <c r="O57" s="113"/>
      <c r="P57" s="113"/>
      <c r="Q57" s="113"/>
      <c r="R57" s="113"/>
      <c r="S57" s="113"/>
      <c r="T57" s="113"/>
      <c r="U57" s="113"/>
      <c r="V57" s="113"/>
      <c r="W57" s="113"/>
      <c r="X57" s="113"/>
      <c r="Y57" s="113"/>
      <c r="Z57" s="113"/>
      <c r="AA57" s="113"/>
      <c r="AB57" s="113"/>
      <c r="AC57" s="113"/>
      <c r="AD57" s="113"/>
      <c r="AE57" s="113"/>
      <c r="AF57" s="113"/>
      <c r="AG57" s="113"/>
      <c r="AH57" s="113"/>
      <c r="AI57" s="113"/>
      <c r="AJ57" s="113"/>
      <c r="AK57" s="113"/>
      <c r="AL57" s="113"/>
      <c r="AM57" s="113"/>
      <c r="AN57" s="113"/>
      <c r="AO57" s="113"/>
      <c r="AP57" s="91"/>
    </row>
    <row r="58" spans="1:42" s="90" customFormat="1" ht="15" customHeight="1">
      <c r="A58" s="89"/>
      <c r="B58" s="111">
        <v>131</v>
      </c>
      <c r="C58" s="111">
        <v>152</v>
      </c>
      <c r="D58" s="111"/>
      <c r="E58" s="112" t="str">
        <f>HLOOKUP($B$1,e!$A$1:$Z$243,B58,FALSE)</f>
        <v>4.</v>
      </c>
      <c r="F58" s="477" t="str">
        <f>HLOOKUP($B$1,e!$A$1:$Z$243,C58,FALSE)</f>
        <v>¿Cuál(es) de las funciones que el grupo no está practicando debería comenzar despuès de que se conviertan en una iglesia?</v>
      </c>
      <c r="G58" s="477"/>
      <c r="H58" s="477"/>
      <c r="I58" s="477"/>
      <c r="J58" s="477"/>
      <c r="K58" s="477"/>
      <c r="L58" s="477"/>
      <c r="M58" s="477"/>
      <c r="N58" s="477"/>
      <c r="O58" s="477"/>
      <c r="P58" s="477"/>
      <c r="Q58" s="477"/>
      <c r="R58" s="477"/>
      <c r="S58" s="477"/>
      <c r="T58" s="477"/>
      <c r="U58" s="477"/>
      <c r="V58" s="477"/>
      <c r="W58" s="477"/>
      <c r="X58" s="477"/>
      <c r="Y58" s="477"/>
      <c r="Z58" s="477"/>
      <c r="AA58" s="477"/>
      <c r="AB58" s="477"/>
      <c r="AC58" s="477"/>
      <c r="AD58" s="477"/>
      <c r="AE58" s="477"/>
      <c r="AF58" s="477"/>
      <c r="AG58" s="477"/>
      <c r="AH58" s="477"/>
      <c r="AI58" s="477"/>
      <c r="AJ58" s="477"/>
      <c r="AK58" s="477"/>
      <c r="AL58" s="477"/>
      <c r="AM58" s="477"/>
      <c r="AN58" s="477"/>
      <c r="AO58" s="122"/>
      <c r="AP58" s="91"/>
    </row>
    <row r="59" spans="1:42" s="90" customFormat="1" ht="15" hidden="1" customHeight="1">
      <c r="A59" s="89"/>
      <c r="B59" s="111"/>
      <c r="C59" s="111"/>
      <c r="D59" s="111"/>
      <c r="E59" s="112"/>
      <c r="F59" s="477"/>
      <c r="G59" s="477"/>
      <c r="H59" s="477"/>
      <c r="I59" s="477"/>
      <c r="J59" s="477"/>
      <c r="K59" s="477"/>
      <c r="L59" s="477"/>
      <c r="M59" s="477"/>
      <c r="N59" s="477"/>
      <c r="O59" s="477"/>
      <c r="P59" s="477"/>
      <c r="Q59" s="477"/>
      <c r="R59" s="477"/>
      <c r="S59" s="477"/>
      <c r="T59" s="477"/>
      <c r="U59" s="477"/>
      <c r="V59" s="477"/>
      <c r="W59" s="477"/>
      <c r="X59" s="477"/>
      <c r="Y59" s="477"/>
      <c r="Z59" s="477"/>
      <c r="AA59" s="477"/>
      <c r="AB59" s="477"/>
      <c r="AC59" s="477"/>
      <c r="AD59" s="477"/>
      <c r="AE59" s="477"/>
      <c r="AF59" s="477"/>
      <c r="AG59" s="477"/>
      <c r="AH59" s="477"/>
      <c r="AI59" s="477"/>
      <c r="AJ59" s="477"/>
      <c r="AK59" s="477"/>
      <c r="AL59" s="477"/>
      <c r="AM59" s="477"/>
      <c r="AN59" s="477"/>
      <c r="AO59" s="122"/>
      <c r="AP59" s="91"/>
    </row>
    <row r="60" spans="1:42" s="90" customFormat="1" ht="15" customHeight="1">
      <c r="A60" s="89"/>
      <c r="B60" s="111">
        <v>132</v>
      </c>
      <c r="C60" s="111">
        <v>153</v>
      </c>
      <c r="D60" s="111"/>
      <c r="E60" s="112" t="str">
        <f>HLOOKUP($B$1,e!$A$1:$Z$243,B60,FALSE)</f>
        <v>5.</v>
      </c>
      <c r="F60" s="476" t="str">
        <f>HLOOKUP($B$1,e!$A$1:$Z$243,C60,FALSE)</f>
        <v>¿Cómo ayudará al grupo a saber que esta es una función importante?</v>
      </c>
      <c r="G60" s="476"/>
      <c r="H60" s="476"/>
      <c r="I60" s="476"/>
      <c r="J60" s="476"/>
      <c r="K60" s="476"/>
      <c r="L60" s="476"/>
      <c r="M60" s="476"/>
      <c r="N60" s="476"/>
      <c r="O60" s="476"/>
      <c r="P60" s="476"/>
      <c r="Q60" s="476"/>
      <c r="R60" s="476"/>
      <c r="S60" s="476"/>
      <c r="T60" s="476"/>
      <c r="U60" s="476"/>
      <c r="V60" s="476"/>
      <c r="W60" s="476"/>
      <c r="X60" s="476"/>
      <c r="Y60" s="476"/>
      <c r="Z60" s="476"/>
      <c r="AA60" s="476"/>
      <c r="AB60" s="476"/>
      <c r="AC60" s="476"/>
      <c r="AD60" s="476"/>
      <c r="AE60" s="476"/>
      <c r="AF60" s="476"/>
      <c r="AG60" s="476"/>
      <c r="AH60" s="476"/>
      <c r="AI60" s="476"/>
      <c r="AJ60" s="476"/>
      <c r="AK60" s="476"/>
      <c r="AL60" s="476"/>
      <c r="AM60" s="476"/>
      <c r="AN60" s="476"/>
      <c r="AO60" s="47"/>
      <c r="AP60" s="91"/>
    </row>
    <row r="61" spans="1:42" s="90" customFormat="1" ht="15" customHeight="1">
      <c r="A61" s="89"/>
      <c r="B61" s="111">
        <v>133</v>
      </c>
      <c r="C61" s="111">
        <v>154</v>
      </c>
      <c r="D61" s="111"/>
      <c r="E61" s="112" t="str">
        <f>HLOOKUP($B$1,e!$A$1:$Z$243,B61,FALSE)</f>
        <v>6.</v>
      </c>
      <c r="F61" s="476" t="str">
        <f>HLOOKUP($B$1,e!$A$1:$Z$243,C61,FALSE)</f>
        <v>¿Cómo empezará a ayudar al grupo a comenzar a hacer esta función?</v>
      </c>
      <c r="G61" s="476"/>
      <c r="H61" s="476"/>
      <c r="I61" s="476"/>
      <c r="J61" s="476"/>
      <c r="K61" s="476"/>
      <c r="L61" s="476"/>
      <c r="M61" s="476"/>
      <c r="N61" s="476"/>
      <c r="O61" s="476"/>
      <c r="P61" s="476"/>
      <c r="Q61" s="476"/>
      <c r="R61" s="476"/>
      <c r="S61" s="476"/>
      <c r="T61" s="476"/>
      <c r="U61" s="476"/>
      <c r="V61" s="476"/>
      <c r="W61" s="476"/>
      <c r="X61" s="476"/>
      <c r="Y61" s="476"/>
      <c r="Z61" s="476"/>
      <c r="AA61" s="476"/>
      <c r="AB61" s="476"/>
      <c r="AC61" s="476"/>
      <c r="AD61" s="476"/>
      <c r="AE61" s="476"/>
      <c r="AF61" s="476"/>
      <c r="AG61" s="476"/>
      <c r="AH61" s="476"/>
      <c r="AI61" s="476"/>
      <c r="AJ61" s="476"/>
      <c r="AK61" s="476"/>
      <c r="AL61" s="476"/>
      <c r="AM61" s="476"/>
      <c r="AN61" s="476"/>
      <c r="AO61" s="47"/>
      <c r="AP61" s="91"/>
    </row>
    <row r="62" spans="1:42" s="90" customFormat="1" ht="15" customHeight="1">
      <c r="A62" s="89"/>
      <c r="B62" s="111">
        <v>134</v>
      </c>
      <c r="C62" s="111">
        <v>155</v>
      </c>
      <c r="D62" s="111"/>
      <c r="E62" s="112" t="str">
        <f>HLOOKUP($B$1,e!$A$1:$Z$243,B62,FALSE)</f>
        <v>7.</v>
      </c>
      <c r="F62" s="477" t="str">
        <f>HLOOKUP($B$1,e!$A$1:$Z$243,C62,FALSE)</f>
        <v>¿Qué información adicional sobre el grupo o el contexto de este ayuda a comprender la realidad de lo que está sucediendo en el grupo?</v>
      </c>
      <c r="G62" s="477"/>
      <c r="H62" s="477"/>
      <c r="I62" s="477"/>
      <c r="J62" s="477"/>
      <c r="K62" s="477"/>
      <c r="L62" s="477"/>
      <c r="M62" s="477"/>
      <c r="N62" s="477"/>
      <c r="O62" s="477"/>
      <c r="P62" s="477"/>
      <c r="Q62" s="477"/>
      <c r="R62" s="477"/>
      <c r="S62" s="477"/>
      <c r="T62" s="477"/>
      <c r="U62" s="477"/>
      <c r="V62" s="477"/>
      <c r="W62" s="477"/>
      <c r="X62" s="477"/>
      <c r="Y62" s="477"/>
      <c r="Z62" s="477"/>
      <c r="AA62" s="477"/>
      <c r="AB62" s="477"/>
      <c r="AC62" s="477"/>
      <c r="AD62" s="477"/>
      <c r="AE62" s="477"/>
      <c r="AF62" s="477"/>
      <c r="AG62" s="477"/>
      <c r="AH62" s="477"/>
      <c r="AI62" s="477"/>
      <c r="AJ62" s="477"/>
      <c r="AK62" s="477"/>
      <c r="AL62" s="477"/>
      <c r="AM62" s="477"/>
      <c r="AN62" s="477"/>
      <c r="AO62" s="122"/>
      <c r="AP62" s="91"/>
    </row>
    <row r="63" spans="1:42" s="90" customFormat="1" ht="15" customHeight="1">
      <c r="A63" s="89"/>
      <c r="B63" s="111"/>
      <c r="C63" s="111"/>
      <c r="D63" s="111"/>
      <c r="E63" s="112"/>
      <c r="F63" s="477"/>
      <c r="G63" s="477"/>
      <c r="H63" s="477"/>
      <c r="I63" s="477"/>
      <c r="J63" s="477"/>
      <c r="K63" s="477"/>
      <c r="L63" s="477"/>
      <c r="M63" s="477"/>
      <c r="N63" s="477"/>
      <c r="O63" s="477"/>
      <c r="P63" s="477"/>
      <c r="Q63" s="477"/>
      <c r="R63" s="477"/>
      <c r="S63" s="477"/>
      <c r="T63" s="477"/>
      <c r="U63" s="477"/>
      <c r="V63" s="477"/>
      <c r="W63" s="477"/>
      <c r="X63" s="477"/>
      <c r="Y63" s="477"/>
      <c r="Z63" s="477"/>
      <c r="AA63" s="477"/>
      <c r="AB63" s="477"/>
      <c r="AC63" s="477"/>
      <c r="AD63" s="477"/>
      <c r="AE63" s="477"/>
      <c r="AF63" s="477"/>
      <c r="AG63" s="477"/>
      <c r="AH63" s="477"/>
      <c r="AI63" s="477"/>
      <c r="AJ63" s="477"/>
      <c r="AK63" s="477"/>
      <c r="AL63" s="477"/>
      <c r="AM63" s="477"/>
      <c r="AN63" s="477"/>
      <c r="AO63" s="122"/>
      <c r="AP63" s="91"/>
    </row>
    <row r="64" spans="1:42" ht="15" customHeight="1">
      <c r="A64" s="82"/>
      <c r="B64" s="26"/>
      <c r="C64" s="30"/>
      <c r="D64" s="30"/>
      <c r="E64" s="36"/>
      <c r="F64" s="36"/>
      <c r="G64" s="36"/>
      <c r="H64" s="36"/>
      <c r="I64" s="36"/>
      <c r="J64" s="36"/>
      <c r="K64" s="36"/>
      <c r="L64" s="36"/>
      <c r="M64" s="36"/>
      <c r="N64" s="36"/>
      <c r="O64" s="36"/>
      <c r="P64" s="63"/>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20"/>
    </row>
    <row r="65" spans="1:42" s="88" customFormat="1" ht="15" customHeight="1">
      <c r="A65" s="87"/>
      <c r="B65" s="101">
        <v>126</v>
      </c>
      <c r="C65" s="101">
        <v>156</v>
      </c>
      <c r="D65" s="105" t="str">
        <f>HLOOKUP($B$1,e!$A$1:$Z$243,B65,FALSE)</f>
        <v>B.</v>
      </c>
      <c r="E65" s="37" t="str">
        <f>HLOOKUP($B$1,e!$A$1:$Z$243,C65,FALSE)</f>
        <v>Sección Tres:</v>
      </c>
      <c r="F65" s="30"/>
      <c r="G65" s="30"/>
      <c r="H65" s="30"/>
      <c r="I65" s="30"/>
      <c r="J65" s="30"/>
      <c r="K65" s="30"/>
      <c r="L65" s="30"/>
      <c r="M65" s="30"/>
      <c r="N65" s="30"/>
      <c r="O65" s="30"/>
      <c r="P65" s="30"/>
      <c r="Q65" s="106"/>
      <c r="R65" s="106"/>
      <c r="S65" s="106"/>
      <c r="T65" s="106"/>
      <c r="U65" s="106"/>
      <c r="V65" s="106"/>
      <c r="W65" s="106"/>
      <c r="X65" s="106"/>
      <c r="Y65" s="106"/>
      <c r="Z65" s="106"/>
      <c r="AA65" s="106"/>
      <c r="AB65" s="106"/>
      <c r="AC65" s="106"/>
      <c r="AD65" s="106"/>
      <c r="AE65" s="106"/>
      <c r="AF65" s="106"/>
      <c r="AG65" s="106"/>
      <c r="AH65" s="106"/>
      <c r="AI65" s="106"/>
      <c r="AJ65" s="106"/>
      <c r="AK65" s="106"/>
      <c r="AL65" s="106"/>
      <c r="AM65" s="106"/>
      <c r="AN65" s="106"/>
      <c r="AO65" s="106"/>
      <c r="AP65" s="85"/>
    </row>
    <row r="66" spans="1:42" s="88" customFormat="1" ht="15" customHeight="1">
      <c r="A66" s="87"/>
      <c r="B66" s="101"/>
      <c r="C66" s="101"/>
      <c r="D66" s="105"/>
      <c r="E66" s="37"/>
      <c r="F66" s="30"/>
      <c r="G66" s="30"/>
      <c r="H66" s="30"/>
      <c r="I66" s="30"/>
      <c r="J66" s="30"/>
      <c r="K66" s="30"/>
      <c r="L66" s="30"/>
      <c r="M66" s="30"/>
      <c r="N66" s="30"/>
      <c r="O66" s="30"/>
      <c r="P66" s="30"/>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85"/>
    </row>
    <row r="67" spans="1:42" ht="15" customHeight="1">
      <c r="A67" s="82"/>
      <c r="B67" s="111">
        <v>128</v>
      </c>
      <c r="C67" s="111">
        <v>157</v>
      </c>
      <c r="D67" s="111"/>
      <c r="E67" s="112" t="str">
        <f>HLOOKUP($B$1,e!$A$1:$Z$243,B67,FALSE)</f>
        <v>1.</v>
      </c>
      <c r="F67" s="477" t="str">
        <f>HLOOKUP($B$1,e!$A$1:$Z$243,C67,FALSE)</f>
        <v>Al observar lo que hace o no hace su grupo, ¿cuáles son las metas más importantes en las que necesita concentrarse para el próximo período (por ejemplo, tres meses)?</v>
      </c>
      <c r="G67" s="477"/>
      <c r="H67" s="477"/>
      <c r="I67" s="477"/>
      <c r="J67" s="477"/>
      <c r="K67" s="477"/>
      <c r="L67" s="477"/>
      <c r="M67" s="477"/>
      <c r="N67" s="477"/>
      <c r="O67" s="477"/>
      <c r="P67" s="477"/>
      <c r="Q67" s="477"/>
      <c r="R67" s="477"/>
      <c r="S67" s="477"/>
      <c r="T67" s="477"/>
      <c r="U67" s="477"/>
      <c r="V67" s="477"/>
      <c r="W67" s="477"/>
      <c r="X67" s="477"/>
      <c r="Y67" s="477"/>
      <c r="Z67" s="477"/>
      <c r="AA67" s="477"/>
      <c r="AB67" s="477"/>
      <c r="AC67" s="477"/>
      <c r="AD67" s="477"/>
      <c r="AE67" s="477"/>
      <c r="AF67" s="477"/>
      <c r="AG67" s="477"/>
      <c r="AH67" s="477"/>
      <c r="AI67" s="477"/>
      <c r="AJ67" s="477"/>
      <c r="AK67" s="477"/>
      <c r="AL67" s="477"/>
      <c r="AM67" s="477"/>
      <c r="AN67" s="477"/>
      <c r="AO67" s="122"/>
      <c r="AP67" s="92"/>
    </row>
    <row r="68" spans="1:42" ht="15" customHeight="1">
      <c r="A68" s="82"/>
      <c r="B68" s="111"/>
      <c r="C68" s="111"/>
      <c r="D68" s="111"/>
      <c r="E68" s="112"/>
      <c r="F68" s="477"/>
      <c r="G68" s="477"/>
      <c r="H68" s="477"/>
      <c r="I68" s="477"/>
      <c r="J68" s="477"/>
      <c r="K68" s="477"/>
      <c r="L68" s="477"/>
      <c r="M68" s="477"/>
      <c r="N68" s="477"/>
      <c r="O68" s="477"/>
      <c r="P68" s="477"/>
      <c r="Q68" s="477"/>
      <c r="R68" s="477"/>
      <c r="S68" s="477"/>
      <c r="T68" s="477"/>
      <c r="U68" s="477"/>
      <c r="V68" s="477"/>
      <c r="W68" s="477"/>
      <c r="X68" s="477"/>
      <c r="Y68" s="477"/>
      <c r="Z68" s="477"/>
      <c r="AA68" s="477"/>
      <c r="AB68" s="477"/>
      <c r="AC68" s="477"/>
      <c r="AD68" s="477"/>
      <c r="AE68" s="477"/>
      <c r="AF68" s="477"/>
      <c r="AG68" s="477"/>
      <c r="AH68" s="477"/>
      <c r="AI68" s="477"/>
      <c r="AJ68" s="477"/>
      <c r="AK68" s="477"/>
      <c r="AL68" s="477"/>
      <c r="AM68" s="477"/>
      <c r="AN68" s="477"/>
      <c r="AO68" s="122"/>
      <c r="AP68" s="92"/>
    </row>
    <row r="69" spans="1:42" ht="15" customHeight="1">
      <c r="A69" s="82"/>
      <c r="B69" s="111">
        <v>129</v>
      </c>
      <c r="C69" s="111">
        <v>158</v>
      </c>
      <c r="D69" s="111"/>
      <c r="E69" s="112" t="str">
        <f>HLOOKUP($B$1,e!$A$1:$Z$243,B69,FALSE)</f>
        <v>2.</v>
      </c>
      <c r="F69" s="477" t="str">
        <f>HLOOKUP($B$1,e!$A$1:$Z$243,C69,FALSE)</f>
        <v>¿Qué pasos de acción podría tomar para avanzar hacia esas metas? ¿Qué más?</v>
      </c>
      <c r="G69" s="477"/>
      <c r="H69" s="477"/>
      <c r="I69" s="477"/>
      <c r="J69" s="477"/>
      <c r="K69" s="477"/>
      <c r="L69" s="477"/>
      <c r="M69" s="477"/>
      <c r="N69" s="477"/>
      <c r="O69" s="477"/>
      <c r="P69" s="477"/>
      <c r="Q69" s="477"/>
      <c r="R69" s="477"/>
      <c r="S69" s="477"/>
      <c r="T69" s="477"/>
      <c r="U69" s="477"/>
      <c r="V69" s="477"/>
      <c r="W69" s="477"/>
      <c r="X69" s="477"/>
      <c r="Y69" s="477"/>
      <c r="Z69" s="477"/>
      <c r="AA69" s="477"/>
      <c r="AB69" s="477"/>
      <c r="AC69" s="477"/>
      <c r="AD69" s="477"/>
      <c r="AE69" s="477"/>
      <c r="AF69" s="477"/>
      <c r="AG69" s="477"/>
      <c r="AH69" s="477"/>
      <c r="AI69" s="477"/>
      <c r="AJ69" s="477"/>
      <c r="AK69" s="477"/>
      <c r="AL69" s="477"/>
      <c r="AM69" s="477"/>
      <c r="AN69" s="477"/>
      <c r="AO69" s="122"/>
      <c r="AP69" s="92"/>
    </row>
    <row r="70" spans="1:42" ht="15" hidden="1" customHeight="1">
      <c r="A70" s="82"/>
      <c r="B70" s="111"/>
      <c r="C70" s="111"/>
      <c r="D70" s="111"/>
      <c r="E70" s="112"/>
      <c r="F70" s="477"/>
      <c r="G70" s="477"/>
      <c r="H70" s="477"/>
      <c r="I70" s="477"/>
      <c r="J70" s="477"/>
      <c r="K70" s="477"/>
      <c r="L70" s="477"/>
      <c r="M70" s="477"/>
      <c r="N70" s="477"/>
      <c r="O70" s="477"/>
      <c r="P70" s="477"/>
      <c r="Q70" s="477"/>
      <c r="R70" s="477"/>
      <c r="S70" s="477"/>
      <c r="T70" s="477"/>
      <c r="U70" s="477"/>
      <c r="V70" s="477"/>
      <c r="W70" s="477"/>
      <c r="X70" s="477"/>
      <c r="Y70" s="477"/>
      <c r="Z70" s="477"/>
      <c r="AA70" s="477"/>
      <c r="AB70" s="477"/>
      <c r="AC70" s="477"/>
      <c r="AD70" s="477"/>
      <c r="AE70" s="477"/>
      <c r="AF70" s="477"/>
      <c r="AG70" s="477"/>
      <c r="AH70" s="477"/>
      <c r="AI70" s="477"/>
      <c r="AJ70" s="477"/>
      <c r="AK70" s="477"/>
      <c r="AL70" s="477"/>
      <c r="AM70" s="477"/>
      <c r="AN70" s="477"/>
      <c r="AO70" s="122"/>
      <c r="AP70" s="92"/>
    </row>
    <row r="71" spans="1:42" ht="15" customHeight="1">
      <c r="A71" s="82"/>
      <c r="B71" s="115">
        <v>130</v>
      </c>
      <c r="C71" s="115">
        <v>159</v>
      </c>
      <c r="D71" s="115"/>
      <c r="E71" s="108" t="str">
        <f>HLOOKUP($B$1,e!$A$1:$Z$243,B71,FALSE)</f>
        <v>3.</v>
      </c>
      <c r="F71" s="476" t="str">
        <f>HLOOKUP($B$1,e!$A$1:$Z$243,C71,FALSE)</f>
        <v>¿A qué retos se enfrenta en esta área?</v>
      </c>
      <c r="G71" s="476"/>
      <c r="H71" s="476"/>
      <c r="I71" s="476"/>
      <c r="J71" s="476"/>
      <c r="K71" s="476"/>
      <c r="L71" s="476"/>
      <c r="M71" s="476"/>
      <c r="N71" s="476"/>
      <c r="O71" s="476"/>
      <c r="P71" s="476"/>
      <c r="Q71" s="476"/>
      <c r="R71" s="476"/>
      <c r="S71" s="476"/>
      <c r="T71" s="476"/>
      <c r="U71" s="476"/>
      <c r="V71" s="476"/>
      <c r="W71" s="476"/>
      <c r="X71" s="476"/>
      <c r="Y71" s="476"/>
      <c r="Z71" s="476"/>
      <c r="AA71" s="476"/>
      <c r="AB71" s="476"/>
      <c r="AC71" s="476"/>
      <c r="AD71" s="476"/>
      <c r="AE71" s="476"/>
      <c r="AF71" s="476"/>
      <c r="AG71" s="476"/>
      <c r="AH71" s="476"/>
      <c r="AI71" s="476"/>
      <c r="AJ71" s="476"/>
      <c r="AK71" s="476"/>
      <c r="AL71" s="476"/>
      <c r="AM71" s="476"/>
      <c r="AN71" s="476"/>
      <c r="AO71" s="47"/>
      <c r="AP71" s="92"/>
    </row>
    <row r="72" spans="1:42" ht="15" customHeight="1">
      <c r="A72" s="82"/>
      <c r="B72" s="115">
        <v>131</v>
      </c>
      <c r="C72" s="115">
        <v>160</v>
      </c>
      <c r="D72" s="115"/>
      <c r="E72" s="108" t="str">
        <f>HLOOKUP($B$1,e!$A$1:$Z$243,B72,FALSE)</f>
        <v>4.</v>
      </c>
      <c r="F72" s="476" t="str">
        <f>HLOOKUP($B$1,e!$A$1:$Z$243,C72,FALSE)</f>
        <v>¿Qué podría hacer para superar estos desafíos?</v>
      </c>
      <c r="G72" s="476"/>
      <c r="H72" s="476"/>
      <c r="I72" s="476"/>
      <c r="J72" s="476"/>
      <c r="K72" s="476"/>
      <c r="L72" s="476"/>
      <c r="M72" s="476"/>
      <c r="N72" s="476"/>
      <c r="O72" s="476"/>
      <c r="P72" s="476"/>
      <c r="Q72" s="476"/>
      <c r="R72" s="476"/>
      <c r="S72" s="476"/>
      <c r="T72" s="476"/>
      <c r="U72" s="476"/>
      <c r="V72" s="476"/>
      <c r="W72" s="476"/>
      <c r="X72" s="476"/>
      <c r="Y72" s="476"/>
      <c r="Z72" s="476"/>
      <c r="AA72" s="476"/>
      <c r="AB72" s="476"/>
      <c r="AC72" s="476"/>
      <c r="AD72" s="476"/>
      <c r="AE72" s="476"/>
      <c r="AF72" s="476"/>
      <c r="AG72" s="476"/>
      <c r="AH72" s="476"/>
      <c r="AI72" s="476"/>
      <c r="AJ72" s="476"/>
      <c r="AK72" s="476"/>
      <c r="AL72" s="476"/>
      <c r="AM72" s="476"/>
      <c r="AN72" s="476"/>
      <c r="AO72" s="47"/>
      <c r="AP72" s="92"/>
    </row>
    <row r="73" spans="1:42" ht="15" customHeight="1">
      <c r="A73" s="82"/>
      <c r="B73" s="115">
        <v>132</v>
      </c>
      <c r="C73" s="115">
        <v>161</v>
      </c>
      <c r="D73" s="115"/>
      <c r="E73" s="108" t="str">
        <f>HLOOKUP($B$1,e!$A$1:$Z$243,B73,FALSE)</f>
        <v>5.</v>
      </c>
      <c r="F73" s="476" t="str">
        <f>HLOOKUP($B$1,e!$A$1:$Z$243,C73,FALSE)</f>
        <v>¿Qué ha intentado ya? ¿Qué diferencia marcaron tus acciones?</v>
      </c>
      <c r="G73" s="476"/>
      <c r="H73" s="476"/>
      <c r="I73" s="476"/>
      <c r="J73" s="476"/>
      <c r="K73" s="476"/>
      <c r="L73" s="476"/>
      <c r="M73" s="476"/>
      <c r="N73" s="476"/>
      <c r="O73" s="476"/>
      <c r="P73" s="476"/>
      <c r="Q73" s="476"/>
      <c r="R73" s="476"/>
      <c r="S73" s="476"/>
      <c r="T73" s="476"/>
      <c r="U73" s="476"/>
      <c r="V73" s="476"/>
      <c r="W73" s="476"/>
      <c r="X73" s="476"/>
      <c r="Y73" s="476"/>
      <c r="Z73" s="476"/>
      <c r="AA73" s="476"/>
      <c r="AB73" s="476"/>
      <c r="AC73" s="476"/>
      <c r="AD73" s="476"/>
      <c r="AE73" s="476"/>
      <c r="AF73" s="476"/>
      <c r="AG73" s="476"/>
      <c r="AH73" s="476"/>
      <c r="AI73" s="476"/>
      <c r="AJ73" s="476"/>
      <c r="AK73" s="476"/>
      <c r="AL73" s="476"/>
      <c r="AM73" s="476"/>
      <c r="AN73" s="476"/>
      <c r="AO73" s="47"/>
      <c r="AP73" s="92"/>
    </row>
    <row r="74" spans="1:42" ht="15" customHeight="1">
      <c r="A74" s="82"/>
      <c r="B74" s="115">
        <v>133</v>
      </c>
      <c r="C74" s="115">
        <v>162</v>
      </c>
      <c r="D74" s="115"/>
      <c r="E74" s="108" t="str">
        <f>HLOOKUP($B$1,e!$A$1:$Z$243,B74,FALSE)</f>
        <v>6.</v>
      </c>
      <c r="F74" s="476" t="str">
        <f>HLOOKUP($B$1,e!$A$1:$Z$243,C74,FALSE)</f>
        <v>¿Quién podría ayudarle?</v>
      </c>
      <c r="G74" s="476"/>
      <c r="H74" s="476"/>
      <c r="I74" s="476"/>
      <c r="J74" s="476"/>
      <c r="K74" s="476"/>
      <c r="L74" s="476"/>
      <c r="M74" s="476"/>
      <c r="N74" s="476"/>
      <c r="O74" s="476"/>
      <c r="P74" s="476"/>
      <c r="Q74" s="476"/>
      <c r="R74" s="476"/>
      <c r="S74" s="476"/>
      <c r="T74" s="476"/>
      <c r="U74" s="476"/>
      <c r="V74" s="476"/>
      <c r="W74" s="476"/>
      <c r="X74" s="476"/>
      <c r="Y74" s="476"/>
      <c r="Z74" s="476"/>
      <c r="AA74" s="476"/>
      <c r="AB74" s="476"/>
      <c r="AC74" s="476"/>
      <c r="AD74" s="476"/>
      <c r="AE74" s="476"/>
      <c r="AF74" s="476"/>
      <c r="AG74" s="476"/>
      <c r="AH74" s="476"/>
      <c r="AI74" s="476"/>
      <c r="AJ74" s="476"/>
      <c r="AK74" s="476"/>
      <c r="AL74" s="476"/>
      <c r="AM74" s="476"/>
      <c r="AN74" s="476"/>
      <c r="AO74" s="47"/>
      <c r="AP74" s="92"/>
    </row>
    <row r="75" spans="1:42" ht="15" customHeight="1">
      <c r="A75" s="82"/>
      <c r="B75" s="115">
        <v>134</v>
      </c>
      <c r="C75" s="115">
        <v>163</v>
      </c>
      <c r="D75" s="115"/>
      <c r="E75" s="108" t="str">
        <f>HLOOKUP($B$1,e!$A$1:$Z$243,B75,FALSE)</f>
        <v>7.</v>
      </c>
      <c r="F75" s="476" t="str">
        <f>HLOOKUP($B$1,e!$A$1:$Z$243,C75,FALSE)</f>
        <v>¿Qué otros recursos podría usar?</v>
      </c>
      <c r="G75" s="476"/>
      <c r="H75" s="476"/>
      <c r="I75" s="476"/>
      <c r="J75" s="476"/>
      <c r="K75" s="476"/>
      <c r="L75" s="476"/>
      <c r="M75" s="476"/>
      <c r="N75" s="476"/>
      <c r="O75" s="476"/>
      <c r="P75" s="476"/>
      <c r="Q75" s="476"/>
      <c r="R75" s="476"/>
      <c r="S75" s="476"/>
      <c r="T75" s="476"/>
      <c r="U75" s="476"/>
      <c r="V75" s="476"/>
      <c r="W75" s="476"/>
      <c r="X75" s="476"/>
      <c r="Y75" s="476"/>
      <c r="Z75" s="476"/>
      <c r="AA75" s="476"/>
      <c r="AB75" s="476"/>
      <c r="AC75" s="476"/>
      <c r="AD75" s="476"/>
      <c r="AE75" s="476"/>
      <c r="AF75" s="476"/>
      <c r="AG75" s="476"/>
      <c r="AH75" s="476"/>
      <c r="AI75" s="476"/>
      <c r="AJ75" s="476"/>
      <c r="AK75" s="476"/>
      <c r="AL75" s="476"/>
      <c r="AM75" s="476"/>
      <c r="AN75" s="476"/>
      <c r="AO75" s="47"/>
      <c r="AP75" s="92"/>
    </row>
    <row r="76" spans="1:42" ht="15" customHeight="1">
      <c r="A76" s="82"/>
      <c r="B76" s="115">
        <v>135</v>
      </c>
      <c r="C76" s="115">
        <v>164</v>
      </c>
      <c r="D76" s="115"/>
      <c r="E76" s="108" t="str">
        <f>HLOOKUP($B$1,e!$A$1:$Z$243,B76,FALSE)</f>
        <v>8.</v>
      </c>
      <c r="F76" s="476" t="str">
        <f>HLOOKUP($B$1,e!$A$1:$Z$243,C76,FALSE)</f>
        <v>¿Qué has visto hacer a otros que podría funcionar para ti?</v>
      </c>
      <c r="G76" s="476"/>
      <c r="H76" s="476"/>
      <c r="I76" s="476"/>
      <c r="J76" s="476"/>
      <c r="K76" s="476"/>
      <c r="L76" s="476"/>
      <c r="M76" s="476"/>
      <c r="N76" s="476"/>
      <c r="O76" s="476"/>
      <c r="P76" s="476"/>
      <c r="Q76" s="476"/>
      <c r="R76" s="476"/>
      <c r="S76" s="476"/>
      <c r="T76" s="476"/>
      <c r="U76" s="476"/>
      <c r="V76" s="476"/>
      <c r="W76" s="476"/>
      <c r="X76" s="476"/>
      <c r="Y76" s="476"/>
      <c r="Z76" s="476"/>
      <c r="AA76" s="476"/>
      <c r="AB76" s="476"/>
      <c r="AC76" s="476"/>
      <c r="AD76" s="476"/>
      <c r="AE76" s="476"/>
      <c r="AF76" s="476"/>
      <c r="AG76" s="476"/>
      <c r="AH76" s="476"/>
      <c r="AI76" s="476"/>
      <c r="AJ76" s="476"/>
      <c r="AK76" s="476"/>
      <c r="AL76" s="476"/>
      <c r="AM76" s="476"/>
      <c r="AN76" s="476"/>
      <c r="AO76" s="47"/>
      <c r="AP76" s="92"/>
    </row>
    <row r="77" spans="1:42" ht="15" customHeight="1">
      <c r="A77" s="82"/>
      <c r="B77" s="111">
        <v>136</v>
      </c>
      <c r="C77" s="111">
        <v>165</v>
      </c>
      <c r="D77" s="111"/>
      <c r="E77" s="112" t="str">
        <f>HLOOKUP($B$1,e!$A$1:$Z$243,B77,FALSE)</f>
        <v>9.</v>
      </c>
      <c r="F77" s="477" t="str">
        <f>HLOOKUP($B$1,e!$A$1:$Z$243,C77,FALSE)</f>
        <v>¿Qué pasos de acción tomará en el próximo período (por ejemplo, tres meses)? Encierre en un círculo o ponga una estrella o marca de verificación junto a ellos.</v>
      </c>
      <c r="G77" s="477"/>
      <c r="H77" s="477"/>
      <c r="I77" s="477"/>
      <c r="J77" s="477"/>
      <c r="K77" s="477"/>
      <c r="L77" s="477"/>
      <c r="M77" s="477"/>
      <c r="N77" s="477"/>
      <c r="O77" s="477"/>
      <c r="P77" s="477"/>
      <c r="Q77" s="477"/>
      <c r="R77" s="477"/>
      <c r="S77" s="477"/>
      <c r="T77" s="477"/>
      <c r="U77" s="477"/>
      <c r="V77" s="477"/>
      <c r="W77" s="477"/>
      <c r="X77" s="477"/>
      <c r="Y77" s="477"/>
      <c r="Z77" s="477"/>
      <c r="AA77" s="477"/>
      <c r="AB77" s="477"/>
      <c r="AC77" s="477"/>
      <c r="AD77" s="477"/>
      <c r="AE77" s="477"/>
      <c r="AF77" s="477"/>
      <c r="AG77" s="477"/>
      <c r="AH77" s="477"/>
      <c r="AI77" s="477"/>
      <c r="AJ77" s="477"/>
      <c r="AK77" s="477"/>
      <c r="AL77" s="477"/>
      <c r="AM77" s="477"/>
      <c r="AN77" s="477"/>
      <c r="AO77" s="122"/>
      <c r="AP77" s="92"/>
    </row>
    <row r="78" spans="1:42" ht="15" customHeight="1">
      <c r="A78" s="82"/>
      <c r="B78" s="111"/>
      <c r="C78" s="111"/>
      <c r="D78" s="111"/>
      <c r="E78" s="112"/>
      <c r="F78" s="477"/>
      <c r="G78" s="477"/>
      <c r="H78" s="477"/>
      <c r="I78" s="477"/>
      <c r="J78" s="477"/>
      <c r="K78" s="477"/>
      <c r="L78" s="477"/>
      <c r="M78" s="477"/>
      <c r="N78" s="477"/>
      <c r="O78" s="477"/>
      <c r="P78" s="477"/>
      <c r="Q78" s="477"/>
      <c r="R78" s="477"/>
      <c r="S78" s="477"/>
      <c r="T78" s="477"/>
      <c r="U78" s="477"/>
      <c r="V78" s="477"/>
      <c r="W78" s="477"/>
      <c r="X78" s="477"/>
      <c r="Y78" s="477"/>
      <c r="Z78" s="477"/>
      <c r="AA78" s="477"/>
      <c r="AB78" s="477"/>
      <c r="AC78" s="477"/>
      <c r="AD78" s="477"/>
      <c r="AE78" s="477"/>
      <c r="AF78" s="477"/>
      <c r="AG78" s="477"/>
      <c r="AH78" s="477"/>
      <c r="AI78" s="477"/>
      <c r="AJ78" s="477"/>
      <c r="AK78" s="477"/>
      <c r="AL78" s="477"/>
      <c r="AM78" s="477"/>
      <c r="AN78" s="477"/>
      <c r="AO78" s="122"/>
      <c r="AP78" s="92"/>
    </row>
    <row r="79" spans="1:42" ht="15" customHeight="1">
      <c r="A79" s="82"/>
      <c r="B79" s="115">
        <v>137</v>
      </c>
      <c r="C79" s="115">
        <v>166</v>
      </c>
      <c r="D79" s="115"/>
      <c r="E79" s="116" t="str">
        <f>HLOOKUP($B$1,e!$A$1:$Z$243,B79,FALSE)</f>
        <v>10.</v>
      </c>
      <c r="F79" s="476" t="str">
        <f>HLOOKUP($B$1,e!$A$1:$Z$243,C79,FALSE)</f>
        <v>¿Cuándo dará cada uno de estos pasos de acción?</v>
      </c>
      <c r="G79" s="476"/>
      <c r="H79" s="476"/>
      <c r="I79" s="476"/>
      <c r="J79" s="476"/>
      <c r="K79" s="476"/>
      <c r="L79" s="476"/>
      <c r="M79" s="476"/>
      <c r="N79" s="476"/>
      <c r="O79" s="476"/>
      <c r="P79" s="476"/>
      <c r="Q79" s="476"/>
      <c r="R79" s="476"/>
      <c r="S79" s="476"/>
      <c r="T79" s="476"/>
      <c r="U79" s="476"/>
      <c r="V79" s="476"/>
      <c r="W79" s="476"/>
      <c r="X79" s="476"/>
      <c r="Y79" s="476"/>
      <c r="Z79" s="476"/>
      <c r="AA79" s="476"/>
      <c r="AB79" s="476"/>
      <c r="AC79" s="476"/>
      <c r="AD79" s="476"/>
      <c r="AE79" s="476"/>
      <c r="AF79" s="476"/>
      <c r="AG79" s="476"/>
      <c r="AH79" s="476"/>
      <c r="AI79" s="476"/>
      <c r="AJ79" s="476"/>
      <c r="AK79" s="476"/>
      <c r="AL79" s="476"/>
      <c r="AM79" s="476"/>
      <c r="AN79" s="476"/>
      <c r="AO79" s="47"/>
      <c r="AP79" s="92"/>
    </row>
    <row r="80" spans="1:42" ht="15" customHeight="1">
      <c r="A80" s="82"/>
      <c r="B80" s="111">
        <v>138</v>
      </c>
      <c r="C80" s="111">
        <v>167</v>
      </c>
      <c r="D80" s="111"/>
      <c r="E80" s="112" t="str">
        <f>HLOOKUP($B$1,e!$A$1:$Z$243,B80,FALSE)</f>
        <v>11.</v>
      </c>
      <c r="F80" s="477" t="str">
        <f>HLOOKUP($B$1,e!$A$1:$Z$243,C80,FALSE)</f>
        <v>¿Quién debe hacer lo que le va a ayudar a lograr estos pasos de acción? Escriba los nombres al lado del paso de acción.</v>
      </c>
      <c r="G80" s="477"/>
      <c r="H80" s="477"/>
      <c r="I80" s="477"/>
      <c r="J80" s="477"/>
      <c r="K80" s="477"/>
      <c r="L80" s="477"/>
      <c r="M80" s="477"/>
      <c r="N80" s="477"/>
      <c r="O80" s="477"/>
      <c r="P80" s="477"/>
      <c r="Q80" s="477"/>
      <c r="R80" s="477"/>
      <c r="S80" s="477"/>
      <c r="T80" s="477"/>
      <c r="U80" s="477"/>
      <c r="V80" s="477"/>
      <c r="W80" s="477"/>
      <c r="X80" s="477"/>
      <c r="Y80" s="477"/>
      <c r="Z80" s="477"/>
      <c r="AA80" s="477"/>
      <c r="AB80" s="477"/>
      <c r="AC80" s="477"/>
      <c r="AD80" s="477"/>
      <c r="AE80" s="477"/>
      <c r="AF80" s="477"/>
      <c r="AG80" s="477"/>
      <c r="AH80" s="477"/>
      <c r="AI80" s="477"/>
      <c r="AJ80" s="477"/>
      <c r="AK80" s="477"/>
      <c r="AL80" s="477"/>
      <c r="AM80" s="477"/>
      <c r="AN80" s="477"/>
      <c r="AO80" s="122"/>
      <c r="AP80" s="92"/>
    </row>
    <row r="81" spans="1:42" ht="15" customHeight="1">
      <c r="A81" s="82"/>
      <c r="B81" s="111"/>
      <c r="C81" s="111"/>
      <c r="D81" s="111"/>
      <c r="E81" s="113"/>
      <c r="F81" s="477"/>
      <c r="G81" s="477"/>
      <c r="H81" s="477"/>
      <c r="I81" s="477"/>
      <c r="J81" s="477"/>
      <c r="K81" s="477"/>
      <c r="L81" s="477"/>
      <c r="M81" s="477"/>
      <c r="N81" s="477"/>
      <c r="O81" s="477"/>
      <c r="P81" s="477"/>
      <c r="Q81" s="477"/>
      <c r="R81" s="477"/>
      <c r="S81" s="477"/>
      <c r="T81" s="477"/>
      <c r="U81" s="477"/>
      <c r="V81" s="477"/>
      <c r="W81" s="477"/>
      <c r="X81" s="477"/>
      <c r="Y81" s="477"/>
      <c r="Z81" s="477"/>
      <c r="AA81" s="477"/>
      <c r="AB81" s="477"/>
      <c r="AC81" s="477"/>
      <c r="AD81" s="477"/>
      <c r="AE81" s="477"/>
      <c r="AF81" s="477"/>
      <c r="AG81" s="477"/>
      <c r="AH81" s="477"/>
      <c r="AI81" s="477"/>
      <c r="AJ81" s="477"/>
      <c r="AK81" s="477"/>
      <c r="AL81" s="477"/>
      <c r="AM81" s="477"/>
      <c r="AN81" s="477"/>
      <c r="AO81" s="122"/>
      <c r="AP81" s="92"/>
    </row>
    <row r="82" spans="1:42" ht="15" customHeight="1">
      <c r="A82" s="82"/>
      <c r="B82" s="26"/>
      <c r="C82" s="30"/>
      <c r="D82" s="30"/>
      <c r="E82" s="36"/>
      <c r="F82" s="36"/>
      <c r="G82" s="36"/>
      <c r="H82" s="36"/>
      <c r="I82" s="36"/>
      <c r="J82" s="36"/>
      <c r="K82" s="36"/>
      <c r="L82" s="36"/>
      <c r="M82" s="36"/>
      <c r="N82" s="36"/>
      <c r="O82" s="36"/>
      <c r="P82" s="63"/>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20"/>
    </row>
    <row r="83" spans="1:42" ht="15" customHeight="1">
      <c r="A83" s="82"/>
      <c r="B83" s="26">
        <v>168</v>
      </c>
      <c r="C83" s="479" t="str">
        <f>HLOOKUP($B$1,e!$A$1:$Z$243,B83,FALSE)</f>
        <v>Posibles preguntas que se deben hacer al completar la Sección 4 Nueva Generación, de la Herramienta del Mapeo Generacional:</v>
      </c>
      <c r="D83" s="479"/>
      <c r="E83" s="479"/>
      <c r="F83" s="479"/>
      <c r="G83" s="479"/>
      <c r="H83" s="479"/>
      <c r="I83" s="479"/>
      <c r="J83" s="479"/>
      <c r="K83" s="479"/>
      <c r="L83" s="479"/>
      <c r="M83" s="479"/>
      <c r="N83" s="479"/>
      <c r="O83" s="479"/>
      <c r="P83" s="479"/>
      <c r="Q83" s="479"/>
      <c r="R83" s="479"/>
      <c r="S83" s="479"/>
      <c r="T83" s="479"/>
      <c r="U83" s="479"/>
      <c r="V83" s="479"/>
      <c r="W83" s="479"/>
      <c r="X83" s="479"/>
      <c r="Y83" s="479"/>
      <c r="Z83" s="479"/>
      <c r="AA83" s="479"/>
      <c r="AB83" s="479"/>
      <c r="AC83" s="479"/>
      <c r="AD83" s="479"/>
      <c r="AE83" s="479"/>
      <c r="AF83" s="479"/>
      <c r="AG83" s="479"/>
      <c r="AH83" s="479"/>
      <c r="AI83" s="479"/>
      <c r="AJ83" s="479"/>
      <c r="AK83" s="479"/>
      <c r="AL83" s="479"/>
      <c r="AM83" s="479"/>
      <c r="AN83" s="479"/>
      <c r="AO83" s="121"/>
      <c r="AP83" s="20"/>
    </row>
    <row r="84" spans="1:42" ht="15" customHeight="1">
      <c r="A84" s="82"/>
      <c r="B84" s="26"/>
      <c r="C84" s="479"/>
      <c r="D84" s="479"/>
      <c r="E84" s="479"/>
      <c r="F84" s="479"/>
      <c r="G84" s="479"/>
      <c r="H84" s="479"/>
      <c r="I84" s="479"/>
      <c r="J84" s="479"/>
      <c r="K84" s="479"/>
      <c r="L84" s="479"/>
      <c r="M84" s="479"/>
      <c r="N84" s="479"/>
      <c r="O84" s="479"/>
      <c r="P84" s="479"/>
      <c r="Q84" s="479"/>
      <c r="R84" s="479"/>
      <c r="S84" s="479"/>
      <c r="T84" s="479"/>
      <c r="U84" s="479"/>
      <c r="V84" s="479"/>
      <c r="W84" s="479"/>
      <c r="X84" s="479"/>
      <c r="Y84" s="479"/>
      <c r="Z84" s="479"/>
      <c r="AA84" s="479"/>
      <c r="AB84" s="479"/>
      <c r="AC84" s="479"/>
      <c r="AD84" s="479"/>
      <c r="AE84" s="479"/>
      <c r="AF84" s="479"/>
      <c r="AG84" s="479"/>
      <c r="AH84" s="479"/>
      <c r="AI84" s="479"/>
      <c r="AJ84" s="479"/>
      <c r="AK84" s="479"/>
      <c r="AL84" s="479"/>
      <c r="AM84" s="479"/>
      <c r="AN84" s="479"/>
      <c r="AO84" s="121"/>
      <c r="AP84" s="20"/>
    </row>
    <row r="85" spans="1:42" ht="15" customHeight="1">
      <c r="A85" s="82"/>
      <c r="B85" s="26"/>
      <c r="C85" s="479"/>
      <c r="D85" s="479"/>
      <c r="E85" s="479"/>
      <c r="F85" s="479"/>
      <c r="G85" s="479"/>
      <c r="H85" s="479"/>
      <c r="I85" s="479"/>
      <c r="J85" s="479"/>
      <c r="K85" s="479"/>
      <c r="L85" s="479"/>
      <c r="M85" s="479"/>
      <c r="N85" s="479"/>
      <c r="O85" s="479"/>
      <c r="P85" s="479"/>
      <c r="Q85" s="479"/>
      <c r="R85" s="479"/>
      <c r="S85" s="479"/>
      <c r="T85" s="479"/>
      <c r="U85" s="479"/>
      <c r="V85" s="479"/>
      <c r="W85" s="479"/>
      <c r="X85" s="479"/>
      <c r="Y85" s="479"/>
      <c r="Z85" s="479"/>
      <c r="AA85" s="479"/>
      <c r="AB85" s="479"/>
      <c r="AC85" s="479"/>
      <c r="AD85" s="479"/>
      <c r="AE85" s="479"/>
      <c r="AF85" s="479"/>
      <c r="AG85" s="479"/>
      <c r="AH85" s="479"/>
      <c r="AI85" s="479"/>
      <c r="AJ85" s="479"/>
      <c r="AK85" s="479"/>
      <c r="AL85" s="479"/>
      <c r="AM85" s="479"/>
      <c r="AN85" s="479"/>
      <c r="AO85" s="121"/>
      <c r="AP85" s="20"/>
    </row>
    <row r="86" spans="1:42" ht="15" customHeight="1">
      <c r="A86" s="82"/>
      <c r="B86" s="26"/>
      <c r="C86" s="30"/>
      <c r="D86" s="30"/>
      <c r="E86" s="36"/>
      <c r="F86" s="36"/>
      <c r="G86" s="36"/>
      <c r="H86" s="36"/>
      <c r="I86" s="36"/>
      <c r="J86" s="36"/>
      <c r="K86" s="36"/>
      <c r="L86" s="36"/>
      <c r="M86" s="36"/>
      <c r="N86" s="36"/>
      <c r="O86" s="36"/>
      <c r="P86" s="63"/>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20"/>
    </row>
    <row r="87" spans="1:42" ht="15" customHeight="1">
      <c r="A87" s="82"/>
      <c r="B87" s="115">
        <v>128</v>
      </c>
      <c r="C87" s="115">
        <v>169</v>
      </c>
      <c r="D87" s="115"/>
      <c r="E87" s="108" t="str">
        <f>HLOOKUP($B$1,e!$A$1:$Z$243,B87,FALSE)</f>
        <v>1.</v>
      </c>
      <c r="F87" s="476" t="str">
        <f>HLOOKUP($B$1,e!$A$1:$Z$243,C87,FALSE)</f>
        <v>¿Cómo está entrenando a estos líderes de la próxima generación?</v>
      </c>
      <c r="G87" s="476"/>
      <c r="H87" s="476"/>
      <c r="I87" s="476"/>
      <c r="J87" s="476"/>
      <c r="K87" s="476"/>
      <c r="L87" s="476"/>
      <c r="M87" s="476"/>
      <c r="N87" s="476"/>
      <c r="O87" s="476"/>
      <c r="P87" s="476"/>
      <c r="Q87" s="476"/>
      <c r="R87" s="476"/>
      <c r="S87" s="476"/>
      <c r="T87" s="476"/>
      <c r="U87" s="476"/>
      <c r="V87" s="476"/>
      <c r="W87" s="476"/>
      <c r="X87" s="476"/>
      <c r="Y87" s="476"/>
      <c r="Z87" s="476"/>
      <c r="AA87" s="476"/>
      <c r="AB87" s="476"/>
      <c r="AC87" s="476"/>
      <c r="AD87" s="476"/>
      <c r="AE87" s="476"/>
      <c r="AF87" s="476"/>
      <c r="AG87" s="476"/>
      <c r="AH87" s="476"/>
      <c r="AI87" s="476"/>
      <c r="AJ87" s="476"/>
      <c r="AK87" s="476"/>
      <c r="AL87" s="476"/>
      <c r="AM87" s="476"/>
      <c r="AN87" s="476"/>
      <c r="AO87" s="47"/>
      <c r="AP87" s="20"/>
    </row>
    <row r="88" spans="1:42" ht="15" customHeight="1">
      <c r="A88" s="82"/>
      <c r="B88" s="115">
        <v>129</v>
      </c>
      <c r="C88" s="115">
        <v>170</v>
      </c>
      <c r="D88" s="115"/>
      <c r="E88" s="108" t="str">
        <f>HLOOKUP($B$1,e!$A$1:$Z$243,B88,FALSE)</f>
        <v>2.</v>
      </c>
      <c r="F88" s="476" t="str">
        <f>HLOOKUP($B$1,e!$A$1:$Z$243,C88,FALSE)</f>
        <v>¿Qué está funcionando bien en su entrenamiento?</v>
      </c>
      <c r="G88" s="476"/>
      <c r="H88" s="476"/>
      <c r="I88" s="476"/>
      <c r="J88" s="476"/>
      <c r="K88" s="476"/>
      <c r="L88" s="476"/>
      <c r="M88" s="476"/>
      <c r="N88" s="476"/>
      <c r="O88" s="476"/>
      <c r="P88" s="476"/>
      <c r="Q88" s="476"/>
      <c r="R88" s="476"/>
      <c r="S88" s="476"/>
      <c r="T88" s="476"/>
      <c r="U88" s="476"/>
      <c r="V88" s="476"/>
      <c r="W88" s="476"/>
      <c r="X88" s="476"/>
      <c r="Y88" s="476"/>
      <c r="Z88" s="476"/>
      <c r="AA88" s="476"/>
      <c r="AB88" s="476"/>
      <c r="AC88" s="476"/>
      <c r="AD88" s="476"/>
      <c r="AE88" s="476"/>
      <c r="AF88" s="476"/>
      <c r="AG88" s="476"/>
      <c r="AH88" s="476"/>
      <c r="AI88" s="476"/>
      <c r="AJ88" s="476"/>
      <c r="AK88" s="476"/>
      <c r="AL88" s="476"/>
      <c r="AM88" s="476"/>
      <c r="AN88" s="476"/>
      <c r="AO88" s="47"/>
      <c r="AP88" s="20"/>
    </row>
    <row r="89" spans="1:42" ht="15" customHeight="1">
      <c r="A89" s="82"/>
      <c r="B89" s="115">
        <v>130</v>
      </c>
      <c r="C89" s="115">
        <v>171</v>
      </c>
      <c r="D89" s="115"/>
      <c r="E89" s="108" t="str">
        <f>HLOOKUP($B$1,e!$A$1:$Z$243,B89,FALSE)</f>
        <v>3.</v>
      </c>
      <c r="F89" s="476" t="str">
        <f>HLOOKUP($B$1,e!$A$1:$Z$243,C89,FALSE)</f>
        <v>¿Dónde necesitas ayuda para entrenar a estos líderes?</v>
      </c>
      <c r="G89" s="476"/>
      <c r="H89" s="476"/>
      <c r="I89" s="476"/>
      <c r="J89" s="476"/>
      <c r="K89" s="476"/>
      <c r="L89" s="476"/>
      <c r="M89" s="476"/>
      <c r="N89" s="476"/>
      <c r="O89" s="476"/>
      <c r="P89" s="476"/>
      <c r="Q89" s="476"/>
      <c r="R89" s="476"/>
      <c r="S89" s="476"/>
      <c r="T89" s="476"/>
      <c r="U89" s="476"/>
      <c r="V89" s="476"/>
      <c r="W89" s="476"/>
      <c r="X89" s="476"/>
      <c r="Y89" s="476"/>
      <c r="Z89" s="476"/>
      <c r="AA89" s="476"/>
      <c r="AB89" s="476"/>
      <c r="AC89" s="476"/>
      <c r="AD89" s="476"/>
      <c r="AE89" s="476"/>
      <c r="AF89" s="476"/>
      <c r="AG89" s="476"/>
      <c r="AH89" s="476"/>
      <c r="AI89" s="476"/>
      <c r="AJ89" s="476"/>
      <c r="AK89" s="476"/>
      <c r="AL89" s="476"/>
      <c r="AM89" s="476"/>
      <c r="AN89" s="476"/>
      <c r="AO89" s="47"/>
      <c r="AP89" s="20"/>
    </row>
    <row r="90" spans="1:42" ht="15" customHeight="1">
      <c r="A90" s="82"/>
      <c r="B90" s="111">
        <v>131</v>
      </c>
      <c r="C90" s="111">
        <v>172</v>
      </c>
      <c r="D90" s="111"/>
      <c r="E90" s="112" t="str">
        <f>HLOOKUP($B$1,e!$A$1:$Z$243,B90,FALSE)</f>
        <v>4.</v>
      </c>
      <c r="F90" s="477" t="str">
        <f>HLOOKUP($B$1,e!$A$1:$Z$243,C90,FALSE)</f>
        <v>¿Qué funciones están realizando bien los grupos en estos grupos de próxima generación? ¿Dónde luchan o necesitan ayuda?</v>
      </c>
      <c r="G90" s="477"/>
      <c r="H90" s="477"/>
      <c r="I90" s="477"/>
      <c r="J90" s="477"/>
      <c r="K90" s="477"/>
      <c r="L90" s="477"/>
      <c r="M90" s="477"/>
      <c r="N90" s="477"/>
      <c r="O90" s="477"/>
      <c r="P90" s="477"/>
      <c r="Q90" s="477"/>
      <c r="R90" s="477"/>
      <c r="S90" s="477"/>
      <c r="T90" s="477"/>
      <c r="U90" s="477"/>
      <c r="V90" s="477"/>
      <c r="W90" s="477"/>
      <c r="X90" s="477"/>
      <c r="Y90" s="477"/>
      <c r="Z90" s="477"/>
      <c r="AA90" s="477"/>
      <c r="AB90" s="477"/>
      <c r="AC90" s="477"/>
      <c r="AD90" s="477"/>
      <c r="AE90" s="477"/>
      <c r="AF90" s="477"/>
      <c r="AG90" s="477"/>
      <c r="AH90" s="477"/>
      <c r="AI90" s="477"/>
      <c r="AJ90" s="477"/>
      <c r="AK90" s="477"/>
      <c r="AL90" s="477"/>
      <c r="AM90" s="477"/>
      <c r="AN90" s="477"/>
      <c r="AO90" s="122"/>
      <c r="AP90" s="20"/>
    </row>
    <row r="91" spans="1:42" ht="15" customHeight="1">
      <c r="A91" s="82"/>
      <c r="B91" s="111"/>
      <c r="C91" s="111"/>
      <c r="D91" s="111"/>
      <c r="E91" s="112"/>
      <c r="F91" s="477"/>
      <c r="G91" s="477"/>
      <c r="H91" s="477"/>
      <c r="I91" s="477"/>
      <c r="J91" s="477"/>
      <c r="K91" s="477"/>
      <c r="L91" s="477"/>
      <c r="M91" s="477"/>
      <c r="N91" s="477"/>
      <c r="O91" s="477"/>
      <c r="P91" s="477"/>
      <c r="Q91" s="477"/>
      <c r="R91" s="477"/>
      <c r="S91" s="477"/>
      <c r="T91" s="477"/>
      <c r="U91" s="477"/>
      <c r="V91" s="477"/>
      <c r="W91" s="477"/>
      <c r="X91" s="477"/>
      <c r="Y91" s="477"/>
      <c r="Z91" s="477"/>
      <c r="AA91" s="477"/>
      <c r="AB91" s="477"/>
      <c r="AC91" s="477"/>
      <c r="AD91" s="477"/>
      <c r="AE91" s="477"/>
      <c r="AF91" s="477"/>
      <c r="AG91" s="477"/>
      <c r="AH91" s="477"/>
      <c r="AI91" s="477"/>
      <c r="AJ91" s="477"/>
      <c r="AK91" s="477"/>
      <c r="AL91" s="477"/>
      <c r="AM91" s="477"/>
      <c r="AN91" s="477"/>
      <c r="AO91" s="122"/>
      <c r="AP91" s="20"/>
    </row>
    <row r="92" spans="1:42" ht="15" customHeight="1">
      <c r="A92" s="82"/>
      <c r="B92" s="115">
        <v>132</v>
      </c>
      <c r="C92" s="115">
        <v>173</v>
      </c>
      <c r="D92" s="115"/>
      <c r="E92" s="116" t="str">
        <f>HLOOKUP($B$1,e!$A$1:$Z$243,B92,FALSE)</f>
        <v>5.</v>
      </c>
      <c r="F92" s="476" t="str">
        <f>HLOOKUP($B$1,e!$A$1:$Z$243,C92,FALSE)</f>
        <v>¿Qué entrenamiento necesita cada líder y grupo?</v>
      </c>
      <c r="G92" s="476"/>
      <c r="H92" s="476"/>
      <c r="I92" s="476"/>
      <c r="J92" s="476"/>
      <c r="K92" s="476"/>
      <c r="L92" s="476"/>
      <c r="M92" s="476"/>
      <c r="N92" s="476"/>
      <c r="O92" s="476"/>
      <c r="P92" s="476"/>
      <c r="Q92" s="476"/>
      <c r="R92" s="476"/>
      <c r="S92" s="476"/>
      <c r="T92" s="476"/>
      <c r="U92" s="476"/>
      <c r="V92" s="476"/>
      <c r="W92" s="476"/>
      <c r="X92" s="476"/>
      <c r="Y92" s="476"/>
      <c r="Z92" s="476"/>
      <c r="AA92" s="476"/>
      <c r="AB92" s="476"/>
      <c r="AC92" s="476"/>
      <c r="AD92" s="476"/>
      <c r="AE92" s="476"/>
      <c r="AF92" s="476"/>
      <c r="AG92" s="476"/>
      <c r="AH92" s="476"/>
      <c r="AI92" s="476"/>
      <c r="AJ92" s="476"/>
      <c r="AK92" s="476"/>
      <c r="AL92" s="476"/>
      <c r="AM92" s="476"/>
      <c r="AN92" s="476"/>
      <c r="AO92" s="47"/>
      <c r="AP92" s="20"/>
    </row>
    <row r="93" spans="1:42" ht="15" customHeight="1">
      <c r="A93" s="82"/>
      <c r="B93" s="115">
        <v>133</v>
      </c>
      <c r="C93" s="115">
        <v>174</v>
      </c>
      <c r="D93" s="115"/>
      <c r="E93" s="108" t="str">
        <f>HLOOKUP($B$1,e!$A$1:$Z$243,B93,FALSE)</f>
        <v>6.</v>
      </c>
      <c r="F93" s="476" t="str">
        <f>HLOOKUP($B$1,e!$A$1:$Z$243,C93,FALSE)</f>
        <v>¿Quién y cómo se dará este entrenamiento?</v>
      </c>
      <c r="G93" s="476"/>
      <c r="H93" s="476"/>
      <c r="I93" s="476"/>
      <c r="J93" s="476"/>
      <c r="K93" s="476"/>
      <c r="L93" s="476"/>
      <c r="M93" s="476"/>
      <c r="N93" s="476"/>
      <c r="O93" s="476"/>
      <c r="P93" s="476"/>
      <c r="Q93" s="476"/>
      <c r="R93" s="476"/>
      <c r="S93" s="476"/>
      <c r="T93" s="476"/>
      <c r="U93" s="476"/>
      <c r="V93" s="476"/>
      <c r="W93" s="476"/>
      <c r="X93" s="476"/>
      <c r="Y93" s="476"/>
      <c r="Z93" s="476"/>
      <c r="AA93" s="476"/>
      <c r="AB93" s="476"/>
      <c r="AC93" s="476"/>
      <c r="AD93" s="476"/>
      <c r="AE93" s="476"/>
      <c r="AF93" s="476"/>
      <c r="AG93" s="476"/>
      <c r="AH93" s="476"/>
      <c r="AI93" s="476"/>
      <c r="AJ93" s="476"/>
      <c r="AK93" s="476"/>
      <c r="AL93" s="476"/>
      <c r="AM93" s="476"/>
      <c r="AN93" s="476"/>
      <c r="AO93" s="47"/>
      <c r="AP93" s="20"/>
    </row>
    <row r="94" spans="1:42" ht="15" customHeight="1">
      <c r="A94" s="82"/>
      <c r="B94" s="111">
        <v>134</v>
      </c>
      <c r="C94" s="111">
        <v>175</v>
      </c>
      <c r="D94" s="111"/>
      <c r="E94" s="112" t="str">
        <f>HLOOKUP($B$1,e!$A$1:$Z$243,B94,FALSE)</f>
        <v>7.</v>
      </c>
      <c r="F94" s="477" t="str">
        <f>HLOOKUP($B$1,e!$A$1:$Z$243,C94,FALSE)</f>
        <v>¿Qué está haciendo para alentar, apoyar, orar y responsabilizar a estos líderes?</v>
      </c>
      <c r="G94" s="477"/>
      <c r="H94" s="477"/>
      <c r="I94" s="477"/>
      <c r="J94" s="477"/>
      <c r="K94" s="477"/>
      <c r="L94" s="477"/>
      <c r="M94" s="477"/>
      <c r="N94" s="477"/>
      <c r="O94" s="477"/>
      <c r="P94" s="477"/>
      <c r="Q94" s="477"/>
      <c r="R94" s="477"/>
      <c r="S94" s="477"/>
      <c r="T94" s="477"/>
      <c r="U94" s="477"/>
      <c r="V94" s="477"/>
      <c r="W94" s="477"/>
      <c r="X94" s="477"/>
      <c r="Y94" s="477"/>
      <c r="Z94" s="477"/>
      <c r="AA94" s="477"/>
      <c r="AB94" s="477"/>
      <c r="AC94" s="477"/>
      <c r="AD94" s="477"/>
      <c r="AE94" s="477"/>
      <c r="AF94" s="477"/>
      <c r="AG94" s="477"/>
      <c r="AH94" s="477"/>
      <c r="AI94" s="477"/>
      <c r="AJ94" s="477"/>
      <c r="AK94" s="477"/>
      <c r="AL94" s="477"/>
      <c r="AM94" s="477"/>
      <c r="AN94" s="477"/>
      <c r="AO94" s="122"/>
      <c r="AP94" s="20"/>
    </row>
    <row r="95" spans="1:42" ht="15" hidden="1" customHeight="1">
      <c r="A95" s="82"/>
      <c r="B95" s="111"/>
      <c r="C95" s="111"/>
      <c r="D95" s="111"/>
      <c r="E95" s="112"/>
      <c r="F95" s="477"/>
      <c r="G95" s="477"/>
      <c r="H95" s="477"/>
      <c r="I95" s="477"/>
      <c r="J95" s="477"/>
      <c r="K95" s="477"/>
      <c r="L95" s="477"/>
      <c r="M95" s="477"/>
      <c r="N95" s="477"/>
      <c r="O95" s="477"/>
      <c r="P95" s="477"/>
      <c r="Q95" s="477"/>
      <c r="R95" s="477"/>
      <c r="S95" s="477"/>
      <c r="T95" s="477"/>
      <c r="U95" s="477"/>
      <c r="V95" s="477"/>
      <c r="W95" s="477"/>
      <c r="X95" s="477"/>
      <c r="Y95" s="477"/>
      <c r="Z95" s="477"/>
      <c r="AA95" s="477"/>
      <c r="AB95" s="477"/>
      <c r="AC95" s="477"/>
      <c r="AD95" s="477"/>
      <c r="AE95" s="477"/>
      <c r="AF95" s="477"/>
      <c r="AG95" s="477"/>
      <c r="AH95" s="477"/>
      <c r="AI95" s="477"/>
      <c r="AJ95" s="477"/>
      <c r="AK95" s="477"/>
      <c r="AL95" s="477"/>
      <c r="AM95" s="477"/>
      <c r="AN95" s="477"/>
      <c r="AO95" s="122"/>
      <c r="AP95" s="20"/>
    </row>
    <row r="96" spans="1:42" ht="15" customHeight="1">
      <c r="A96" s="82"/>
      <c r="B96" s="111">
        <v>135</v>
      </c>
      <c r="C96" s="111">
        <v>176</v>
      </c>
      <c r="D96" s="111"/>
      <c r="E96" s="112" t="str">
        <f>HLOOKUP($B$1,e!$A$1:$Z$243,B96,FALSE)</f>
        <v>8.</v>
      </c>
      <c r="F96" s="477" t="str">
        <f>HLOOKUP($B$1,e!$A$1:$Z$243,C96,FALSE)</f>
        <v>¿Cuál es su objetivo y pasos de acción a medida que entrena a cada líder en el próximo período (por ejemplo, tres meses)?</v>
      </c>
      <c r="G96" s="477"/>
      <c r="H96" s="477"/>
      <c r="I96" s="477"/>
      <c r="J96" s="477"/>
      <c r="K96" s="477"/>
      <c r="L96" s="477"/>
      <c r="M96" s="477"/>
      <c r="N96" s="477"/>
      <c r="O96" s="477"/>
      <c r="P96" s="477"/>
      <c r="Q96" s="477"/>
      <c r="R96" s="477"/>
      <c r="S96" s="477"/>
      <c r="T96" s="477"/>
      <c r="U96" s="477"/>
      <c r="V96" s="477"/>
      <c r="W96" s="477"/>
      <c r="X96" s="477"/>
      <c r="Y96" s="477"/>
      <c r="Z96" s="477"/>
      <c r="AA96" s="477"/>
      <c r="AB96" s="477"/>
      <c r="AC96" s="477"/>
      <c r="AD96" s="477"/>
      <c r="AE96" s="477"/>
      <c r="AF96" s="477"/>
      <c r="AG96" s="477"/>
      <c r="AH96" s="477"/>
      <c r="AI96" s="477"/>
      <c r="AJ96" s="477"/>
      <c r="AK96" s="477"/>
      <c r="AL96" s="477"/>
      <c r="AM96" s="477"/>
      <c r="AN96" s="477"/>
      <c r="AO96" s="122"/>
      <c r="AP96" s="20"/>
    </row>
    <row r="97" spans="1:42" ht="15" customHeight="1">
      <c r="A97" s="82"/>
      <c r="B97" s="111"/>
      <c r="C97" s="111"/>
      <c r="D97" s="111"/>
      <c r="E97" s="113"/>
      <c r="F97" s="477"/>
      <c r="G97" s="477"/>
      <c r="H97" s="477"/>
      <c r="I97" s="477"/>
      <c r="J97" s="477"/>
      <c r="K97" s="477"/>
      <c r="L97" s="477"/>
      <c r="M97" s="477"/>
      <c r="N97" s="477"/>
      <c r="O97" s="477"/>
      <c r="P97" s="477"/>
      <c r="Q97" s="477"/>
      <c r="R97" s="477"/>
      <c r="S97" s="477"/>
      <c r="T97" s="477"/>
      <c r="U97" s="477"/>
      <c r="V97" s="477"/>
      <c r="W97" s="477"/>
      <c r="X97" s="477"/>
      <c r="Y97" s="477"/>
      <c r="Z97" s="477"/>
      <c r="AA97" s="477"/>
      <c r="AB97" s="477"/>
      <c r="AC97" s="477"/>
      <c r="AD97" s="477"/>
      <c r="AE97" s="477"/>
      <c r="AF97" s="477"/>
      <c r="AG97" s="477"/>
      <c r="AH97" s="477"/>
      <c r="AI97" s="477"/>
      <c r="AJ97" s="477"/>
      <c r="AK97" s="477"/>
      <c r="AL97" s="477"/>
      <c r="AM97" s="477"/>
      <c r="AN97" s="477"/>
      <c r="AO97" s="122"/>
      <c r="AP97" s="20"/>
    </row>
    <row r="98" spans="1:42" ht="15" customHeight="1">
      <c r="A98" s="82"/>
      <c r="B98" s="26"/>
      <c r="C98" s="30"/>
      <c r="D98" s="30"/>
      <c r="E98" s="36"/>
      <c r="F98" s="36"/>
      <c r="G98" s="36"/>
      <c r="H98" s="36"/>
      <c r="I98" s="36"/>
      <c r="J98" s="36"/>
      <c r="K98" s="36"/>
      <c r="L98" s="36"/>
      <c r="M98" s="36"/>
      <c r="N98" s="36"/>
      <c r="O98" s="36"/>
      <c r="P98" s="63"/>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20"/>
    </row>
    <row r="99" spans="1:42" ht="15" customHeight="1">
      <c r="A99" s="82"/>
      <c r="B99" s="128" t="str">
        <f>e!A51</f>
        <v>A4</v>
      </c>
      <c r="C99" s="30"/>
      <c r="D99" s="30"/>
      <c r="E99" s="36"/>
      <c r="F99" s="36"/>
      <c r="G99" s="36"/>
      <c r="H99" s="36"/>
      <c r="I99" s="36"/>
      <c r="J99" s="36"/>
      <c r="K99" s="36"/>
      <c r="L99" s="36"/>
      <c r="M99" s="36"/>
      <c r="N99" s="36"/>
      <c r="O99" s="36"/>
      <c r="P99" s="63"/>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29" t="str">
        <f>B1</f>
        <v>Español (Spanish) +</v>
      </c>
      <c r="AP99" s="20"/>
    </row>
    <row r="100" spans="1:42" ht="30" customHeight="1">
      <c r="A100" s="117"/>
      <c r="B100" s="118"/>
      <c r="C100" s="118"/>
      <c r="D100" s="118"/>
      <c r="E100" s="118"/>
      <c r="F100" s="118"/>
      <c r="G100" s="118"/>
      <c r="H100" s="118"/>
      <c r="I100" s="118"/>
      <c r="J100" s="118"/>
      <c r="K100" s="118"/>
      <c r="L100" s="118"/>
      <c r="M100" s="118"/>
      <c r="N100" s="118"/>
      <c r="O100" s="118"/>
      <c r="P100" s="118"/>
      <c r="Q100" s="118"/>
      <c r="R100" s="118"/>
      <c r="S100" s="118"/>
      <c r="T100" s="118"/>
      <c r="U100" s="118"/>
      <c r="V100" s="118"/>
      <c r="W100" s="118"/>
      <c r="X100" s="118"/>
      <c r="Y100" s="118"/>
      <c r="Z100" s="118"/>
      <c r="AA100" s="118"/>
      <c r="AB100" s="118"/>
      <c r="AC100" s="118"/>
      <c r="AD100" s="118"/>
      <c r="AE100" s="118"/>
      <c r="AF100" s="118"/>
      <c r="AG100" s="118"/>
      <c r="AH100" s="118"/>
      <c r="AI100" s="118"/>
      <c r="AJ100" s="118"/>
      <c r="AK100" s="118"/>
      <c r="AL100" s="118"/>
      <c r="AM100" s="118"/>
      <c r="AN100" s="118"/>
      <c r="AO100" s="118"/>
      <c r="AP100" s="119"/>
    </row>
    <row r="101" spans="1:42">
      <c r="AC101" s="1"/>
    </row>
    <row r="102" spans="1:42">
      <c r="AC102" s="1"/>
    </row>
    <row r="103" spans="1:42">
      <c r="AC103" s="1"/>
    </row>
    <row r="104" spans="1:42">
      <c r="AC104" s="1"/>
    </row>
    <row r="105" spans="1:42">
      <c r="AC105" s="1"/>
    </row>
    <row r="106" spans="1:42">
      <c r="AC106" s="1"/>
    </row>
    <row r="107" spans="1:42">
      <c r="AC107" s="1"/>
    </row>
    <row r="108" spans="1:42">
      <c r="AC108" s="1"/>
    </row>
    <row r="109" spans="1:42">
      <c r="AC109" s="1"/>
    </row>
    <row r="110" spans="1:42">
      <c r="AC110" s="1"/>
    </row>
    <row r="111" spans="1:42">
      <c r="AC111" s="1"/>
    </row>
    <row r="112" spans="1:42">
      <c r="AC112" s="1"/>
    </row>
    <row r="113" spans="29:29">
      <c r="AC113" s="1"/>
    </row>
    <row r="114" spans="29:29">
      <c r="AC114" s="1"/>
    </row>
    <row r="115" spans="29:29">
      <c r="AC115" s="1"/>
    </row>
    <row r="117" spans="29:29">
      <c r="AC117" s="1"/>
    </row>
  </sheetData>
  <mergeCells count="38">
    <mergeCell ref="C83:AN85"/>
    <mergeCell ref="F71:AN71"/>
    <mergeCell ref="F72:AN72"/>
    <mergeCell ref="F73:AN73"/>
    <mergeCell ref="F74:AN74"/>
    <mergeCell ref="F75:AN75"/>
    <mergeCell ref="F93:AN93"/>
    <mergeCell ref="F96:AN97"/>
    <mergeCell ref="F94:AN95"/>
    <mergeCell ref="B1:J1"/>
    <mergeCell ref="C9:AO9"/>
    <mergeCell ref="D8:AM8"/>
    <mergeCell ref="C10:AN13"/>
    <mergeCell ref="F16:AN16"/>
    <mergeCell ref="F19:AN20"/>
    <mergeCell ref="F17:AN18"/>
    <mergeCell ref="C41:AN44"/>
    <mergeCell ref="F58:AN59"/>
    <mergeCell ref="F51:AN52"/>
    <mergeCell ref="F49:AN50"/>
    <mergeCell ref="F47:AN48"/>
    <mergeCell ref="F60:AN60"/>
    <mergeCell ref="F92:AN92"/>
    <mergeCell ref="F24:AN26"/>
    <mergeCell ref="F76:AN76"/>
    <mergeCell ref="F79:AN79"/>
    <mergeCell ref="F87:AN87"/>
    <mergeCell ref="F88:AN88"/>
    <mergeCell ref="F89:AN89"/>
    <mergeCell ref="F28:AN35"/>
    <mergeCell ref="F36:AN39"/>
    <mergeCell ref="F90:AN91"/>
    <mergeCell ref="F80:AN81"/>
    <mergeCell ref="F77:AN78"/>
    <mergeCell ref="F61:AN61"/>
    <mergeCell ref="F69:AN70"/>
    <mergeCell ref="F67:AN68"/>
    <mergeCell ref="F62:AN63"/>
  </mergeCells>
  <pageMargins left="0.5" right="0.5" top="0.55000000000000004" bottom="0.55000000000000004" header="0.3" footer="0.3"/>
  <pageSetup paperSize="9" orientation="portrait" r:id="rId1"/>
  <rowBreaks count="1" manualBreakCount="1">
    <brk id="52"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e!$B$1:$Z$1</xm:f>
          </x14:formula1>
          <xm:sqref>B1:J1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Z243"/>
  <sheetViews>
    <sheetView zoomScale="90" zoomScaleNormal="9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ColWidth="9.140625" defaultRowHeight="15"/>
  <cols>
    <col min="1" max="26" width="31.140625" customWidth="1"/>
  </cols>
  <sheetData>
    <row r="1" spans="1:26" ht="15.75">
      <c r="A1" s="191" t="s">
        <v>267</v>
      </c>
      <c r="B1" s="192" t="s">
        <v>1645</v>
      </c>
      <c r="C1" s="192" t="s">
        <v>1646</v>
      </c>
      <c r="D1" s="192" t="s">
        <v>1647</v>
      </c>
      <c r="E1" s="193" t="s">
        <v>1648</v>
      </c>
      <c r="F1" s="192" t="s">
        <v>1649</v>
      </c>
      <c r="G1" s="192" t="s">
        <v>1650</v>
      </c>
      <c r="H1" s="192" t="s">
        <v>1651</v>
      </c>
      <c r="I1" s="194" t="s">
        <v>1652</v>
      </c>
      <c r="J1" s="194" t="s">
        <v>1653</v>
      </c>
      <c r="K1" s="194" t="s">
        <v>1654</v>
      </c>
      <c r="L1" s="194" t="s">
        <v>1655</v>
      </c>
      <c r="M1" s="195" t="s">
        <v>1656</v>
      </c>
      <c r="N1" s="195" t="s">
        <v>1657</v>
      </c>
      <c r="O1" s="195" t="s">
        <v>1658</v>
      </c>
      <c r="P1" s="195" t="s">
        <v>1659</v>
      </c>
      <c r="Q1" s="195" t="s">
        <v>1660</v>
      </c>
      <c r="R1" s="195" t="s">
        <v>1661</v>
      </c>
      <c r="S1" s="195" t="s">
        <v>1662</v>
      </c>
      <c r="T1" s="195" t="s">
        <v>1663</v>
      </c>
      <c r="U1" s="195" t="s">
        <v>1664</v>
      </c>
      <c r="V1" s="195" t="s">
        <v>1665</v>
      </c>
      <c r="W1" s="195" t="s">
        <v>2289</v>
      </c>
      <c r="X1" s="195" t="s">
        <v>1666</v>
      </c>
      <c r="Y1" s="195" t="s">
        <v>2341</v>
      </c>
      <c r="Z1" s="195"/>
    </row>
    <row r="2" spans="1:26" ht="45">
      <c r="A2" s="196" t="s">
        <v>268</v>
      </c>
      <c r="B2" s="197" t="s">
        <v>268</v>
      </c>
      <c r="C2" s="197" t="s">
        <v>1422</v>
      </c>
      <c r="D2" s="197" t="s">
        <v>1667</v>
      </c>
      <c r="E2" s="198" t="s">
        <v>765</v>
      </c>
      <c r="F2" s="199" t="s">
        <v>1668</v>
      </c>
      <c r="G2" s="197" t="s">
        <v>1669</v>
      </c>
      <c r="H2" s="197" t="s">
        <v>1670</v>
      </c>
      <c r="I2" s="197" t="s">
        <v>1671</v>
      </c>
      <c r="J2" s="197" t="s">
        <v>268</v>
      </c>
      <c r="K2" s="197" t="s">
        <v>268</v>
      </c>
      <c r="L2" s="200" t="s">
        <v>769</v>
      </c>
      <c r="M2" s="197" t="s">
        <v>763</v>
      </c>
      <c r="N2" s="197" t="s">
        <v>764</v>
      </c>
      <c r="O2" s="197" t="s">
        <v>766</v>
      </c>
      <c r="P2" s="197" t="s">
        <v>767</v>
      </c>
      <c r="Q2" s="197" t="s">
        <v>768</v>
      </c>
      <c r="R2" s="197" t="s">
        <v>268</v>
      </c>
      <c r="S2" s="197" t="s">
        <v>1391</v>
      </c>
      <c r="T2" s="197" t="s">
        <v>770</v>
      </c>
      <c r="U2" s="197" t="s">
        <v>2342</v>
      </c>
      <c r="V2" s="197" t="s">
        <v>2343</v>
      </c>
      <c r="W2" s="197" t="s">
        <v>2344</v>
      </c>
      <c r="X2" s="197" t="s">
        <v>2345</v>
      </c>
      <c r="Y2" s="197" t="s">
        <v>2346</v>
      </c>
      <c r="Z2" s="197"/>
    </row>
    <row r="3" spans="1:26" ht="17.25">
      <c r="A3" s="201" t="s">
        <v>0</v>
      </c>
      <c r="B3" s="202" t="s">
        <v>0</v>
      </c>
      <c r="C3" s="202" t="s">
        <v>36</v>
      </c>
      <c r="D3" s="202" t="s">
        <v>141</v>
      </c>
      <c r="E3" s="203" t="s">
        <v>1500</v>
      </c>
      <c r="F3" s="204" t="s">
        <v>1672</v>
      </c>
      <c r="G3" s="202" t="s">
        <v>1673</v>
      </c>
      <c r="H3" s="202" t="s">
        <v>1674</v>
      </c>
      <c r="I3" s="202" t="s">
        <v>1675</v>
      </c>
      <c r="J3" s="202" t="s">
        <v>0</v>
      </c>
      <c r="K3" s="202" t="s">
        <v>0</v>
      </c>
      <c r="L3" s="205" t="s">
        <v>164</v>
      </c>
      <c r="M3" s="202" t="s">
        <v>46</v>
      </c>
      <c r="N3" s="202" t="s">
        <v>18</v>
      </c>
      <c r="O3" s="202" t="s">
        <v>70</v>
      </c>
      <c r="P3" s="202" t="s">
        <v>88</v>
      </c>
      <c r="Q3" s="202" t="s">
        <v>106</v>
      </c>
      <c r="R3" s="202" t="s">
        <v>124</v>
      </c>
      <c r="S3" s="202" t="s">
        <v>148</v>
      </c>
      <c r="T3" s="202" t="s">
        <v>182</v>
      </c>
      <c r="U3" s="202" t="s">
        <v>2347</v>
      </c>
      <c r="V3" s="202" t="s">
        <v>2348</v>
      </c>
      <c r="W3" s="202" t="s">
        <v>2349</v>
      </c>
      <c r="X3" s="202" t="s">
        <v>2350</v>
      </c>
      <c r="Y3" s="202" t="s">
        <v>2351</v>
      </c>
      <c r="Z3" s="202"/>
    </row>
    <row r="4" spans="1:26" ht="17.25">
      <c r="A4" s="206" t="s">
        <v>1</v>
      </c>
      <c r="B4" s="207" t="s">
        <v>1</v>
      </c>
      <c r="C4" s="207" t="s">
        <v>1423</v>
      </c>
      <c r="D4" s="207" t="s">
        <v>1676</v>
      </c>
      <c r="E4" s="208" t="s">
        <v>1501</v>
      </c>
      <c r="F4" s="209" t="s">
        <v>1677</v>
      </c>
      <c r="G4" s="207" t="s">
        <v>1678</v>
      </c>
      <c r="H4" s="207" t="s">
        <v>1679</v>
      </c>
      <c r="I4" s="207" t="s">
        <v>1680</v>
      </c>
      <c r="J4" s="207" t="s">
        <v>1</v>
      </c>
      <c r="K4" s="207" t="s">
        <v>1</v>
      </c>
      <c r="L4" s="210" t="s">
        <v>165</v>
      </c>
      <c r="M4" s="207" t="s">
        <v>47</v>
      </c>
      <c r="N4" s="207" t="s">
        <v>19</v>
      </c>
      <c r="O4" s="207" t="s">
        <v>71</v>
      </c>
      <c r="P4" s="207" t="s">
        <v>89</v>
      </c>
      <c r="Q4" s="207" t="s">
        <v>107</v>
      </c>
      <c r="R4" s="207" t="s">
        <v>125</v>
      </c>
      <c r="S4" s="207" t="s">
        <v>149</v>
      </c>
      <c r="T4" s="207" t="s">
        <v>183</v>
      </c>
      <c r="U4" s="207" t="s">
        <v>2352</v>
      </c>
      <c r="V4" s="207" t="s">
        <v>2353</v>
      </c>
      <c r="W4" s="207" t="s">
        <v>2354</v>
      </c>
      <c r="X4" s="207" t="s">
        <v>2355</v>
      </c>
      <c r="Y4" s="207" t="s">
        <v>2356</v>
      </c>
      <c r="Z4" s="207"/>
    </row>
    <row r="5" spans="1:26" ht="17.25">
      <c r="A5" s="206" t="s">
        <v>2</v>
      </c>
      <c r="B5" s="207" t="s">
        <v>2</v>
      </c>
      <c r="C5" s="207" t="s">
        <v>1424</v>
      </c>
      <c r="D5" s="207" t="s">
        <v>142</v>
      </c>
      <c r="E5" s="208" t="s">
        <v>64</v>
      </c>
      <c r="F5" s="209" t="s">
        <v>1681</v>
      </c>
      <c r="G5" s="207" t="s">
        <v>1682</v>
      </c>
      <c r="H5" s="207" t="s">
        <v>1683</v>
      </c>
      <c r="I5" s="207" t="s">
        <v>1684</v>
      </c>
      <c r="J5" s="207" t="s">
        <v>2</v>
      </c>
      <c r="K5" s="207" t="s">
        <v>2</v>
      </c>
      <c r="L5" s="210" t="s">
        <v>166</v>
      </c>
      <c r="M5" s="207" t="s">
        <v>48</v>
      </c>
      <c r="N5" s="207" t="s">
        <v>20</v>
      </c>
      <c r="O5" s="207" t="s">
        <v>72</v>
      </c>
      <c r="P5" s="207" t="s">
        <v>90</v>
      </c>
      <c r="Q5" s="207" t="s">
        <v>108</v>
      </c>
      <c r="R5" s="207" t="s">
        <v>126</v>
      </c>
      <c r="S5" s="207" t="s">
        <v>150</v>
      </c>
      <c r="T5" s="207" t="s">
        <v>184</v>
      </c>
      <c r="U5" s="207" t="s">
        <v>2357</v>
      </c>
      <c r="V5" s="207" t="s">
        <v>2358</v>
      </c>
      <c r="W5" s="207" t="s">
        <v>2359</v>
      </c>
      <c r="X5" s="207" t="s">
        <v>2360</v>
      </c>
      <c r="Y5" s="207" t="s">
        <v>2361</v>
      </c>
      <c r="Z5" s="207"/>
    </row>
    <row r="6" spans="1:26" ht="17.25">
      <c r="A6" s="206" t="s">
        <v>6</v>
      </c>
      <c r="B6" s="207" t="s">
        <v>6</v>
      </c>
      <c r="C6" s="207" t="s">
        <v>37</v>
      </c>
      <c r="D6" s="207" t="s">
        <v>1685</v>
      </c>
      <c r="E6" s="208" t="s">
        <v>1502</v>
      </c>
      <c r="F6" s="209" t="s">
        <v>1686</v>
      </c>
      <c r="G6" s="207" t="s">
        <v>1687</v>
      </c>
      <c r="H6" s="207" t="s">
        <v>1688</v>
      </c>
      <c r="I6" s="207" t="s">
        <v>1689</v>
      </c>
      <c r="J6" s="207" t="s">
        <v>6</v>
      </c>
      <c r="K6" s="207" t="s">
        <v>6</v>
      </c>
      <c r="L6" s="210" t="s">
        <v>167</v>
      </c>
      <c r="M6" s="207" t="s">
        <v>49</v>
      </c>
      <c r="N6" s="207" t="s">
        <v>21</v>
      </c>
      <c r="O6" s="207" t="s">
        <v>73</v>
      </c>
      <c r="P6" s="207" t="s">
        <v>91</v>
      </c>
      <c r="Q6" s="207" t="s">
        <v>109</v>
      </c>
      <c r="R6" s="207" t="s">
        <v>127</v>
      </c>
      <c r="S6" s="207" t="s">
        <v>151</v>
      </c>
      <c r="T6" s="207" t="s">
        <v>185</v>
      </c>
      <c r="U6" s="207" t="s">
        <v>2362</v>
      </c>
      <c r="V6" s="207" t="s">
        <v>2363</v>
      </c>
      <c r="W6" s="207" t="s">
        <v>2364</v>
      </c>
      <c r="X6" s="207" t="s">
        <v>2365</v>
      </c>
      <c r="Y6" s="207" t="s">
        <v>2366</v>
      </c>
      <c r="Z6" s="207"/>
    </row>
    <row r="7" spans="1:26" ht="17.25">
      <c r="A7" s="206" t="s">
        <v>3</v>
      </c>
      <c r="B7" s="207" t="s">
        <v>3</v>
      </c>
      <c r="C7" s="207" t="s">
        <v>38</v>
      </c>
      <c r="D7" s="207" t="s">
        <v>143</v>
      </c>
      <c r="E7" s="208" t="s">
        <v>65</v>
      </c>
      <c r="F7" s="209" t="s">
        <v>1690</v>
      </c>
      <c r="G7" s="207" t="s">
        <v>1691</v>
      </c>
      <c r="H7" s="207" t="s">
        <v>1692</v>
      </c>
      <c r="I7" s="207" t="s">
        <v>1693</v>
      </c>
      <c r="J7" s="207" t="s">
        <v>3</v>
      </c>
      <c r="K7" s="207" t="s">
        <v>3</v>
      </c>
      <c r="L7" s="210" t="s">
        <v>168</v>
      </c>
      <c r="M7" s="207" t="s">
        <v>50</v>
      </c>
      <c r="N7" s="207" t="s">
        <v>22</v>
      </c>
      <c r="O7" s="207" t="s">
        <v>74</v>
      </c>
      <c r="P7" s="207" t="s">
        <v>92</v>
      </c>
      <c r="Q7" s="207" t="s">
        <v>110</v>
      </c>
      <c r="R7" s="207" t="s">
        <v>128</v>
      </c>
      <c r="S7" s="207" t="s">
        <v>152</v>
      </c>
      <c r="T7" s="207" t="s">
        <v>186</v>
      </c>
      <c r="U7" s="207" t="s">
        <v>2367</v>
      </c>
      <c r="V7" s="207" t="s">
        <v>2368</v>
      </c>
      <c r="W7" s="207" t="s">
        <v>2369</v>
      </c>
      <c r="X7" s="207" t="s">
        <v>2370</v>
      </c>
      <c r="Y7" s="207" t="s">
        <v>2371</v>
      </c>
      <c r="Z7" s="207"/>
    </row>
    <row r="8" spans="1:26" ht="17.25">
      <c r="A8" s="206" t="s">
        <v>4</v>
      </c>
      <c r="B8" s="207" t="s">
        <v>4</v>
      </c>
      <c r="C8" s="207" t="s">
        <v>39</v>
      </c>
      <c r="D8" s="207" t="s">
        <v>144</v>
      </c>
      <c r="E8" s="208" t="s">
        <v>1503</v>
      </c>
      <c r="F8" s="209" t="s">
        <v>1694</v>
      </c>
      <c r="G8" s="207" t="s">
        <v>1695</v>
      </c>
      <c r="H8" s="207" t="s">
        <v>1696</v>
      </c>
      <c r="I8" s="207" t="s">
        <v>1697</v>
      </c>
      <c r="J8" s="207" t="s">
        <v>4</v>
      </c>
      <c r="K8" s="207" t="s">
        <v>4</v>
      </c>
      <c r="L8" s="210" t="s">
        <v>169</v>
      </c>
      <c r="M8" s="207" t="s">
        <v>51</v>
      </c>
      <c r="N8" s="207" t="s">
        <v>23</v>
      </c>
      <c r="O8" s="207" t="s">
        <v>75</v>
      </c>
      <c r="P8" s="207" t="s">
        <v>93</v>
      </c>
      <c r="Q8" s="207" t="s">
        <v>111</v>
      </c>
      <c r="R8" s="207" t="s">
        <v>129</v>
      </c>
      <c r="S8" s="207" t="s">
        <v>153</v>
      </c>
      <c r="T8" s="207" t="s">
        <v>187</v>
      </c>
      <c r="U8" s="207" t="s">
        <v>2372</v>
      </c>
      <c r="V8" s="207" t="s">
        <v>2373</v>
      </c>
      <c r="W8" s="207" t="s">
        <v>2374</v>
      </c>
      <c r="X8" s="207" t="s">
        <v>2375</v>
      </c>
      <c r="Y8" s="207" t="s">
        <v>2376</v>
      </c>
      <c r="Z8" s="207"/>
    </row>
    <row r="9" spans="1:26" ht="17.25">
      <c r="A9" s="206" t="s">
        <v>5</v>
      </c>
      <c r="B9" s="207" t="s">
        <v>5</v>
      </c>
      <c r="C9" s="207" t="s">
        <v>2377</v>
      </c>
      <c r="D9" s="207" t="s">
        <v>1698</v>
      </c>
      <c r="E9" s="208" t="s">
        <v>1504</v>
      </c>
      <c r="F9" s="209" t="s">
        <v>1699</v>
      </c>
      <c r="G9" s="207" t="s">
        <v>1700</v>
      </c>
      <c r="H9" s="207" t="s">
        <v>1701</v>
      </c>
      <c r="I9" s="207" t="s">
        <v>1702</v>
      </c>
      <c r="J9" s="207" t="s">
        <v>5</v>
      </c>
      <c r="K9" s="207" t="s">
        <v>5</v>
      </c>
      <c r="L9" s="210" t="s">
        <v>170</v>
      </c>
      <c r="M9" s="207" t="s">
        <v>52</v>
      </c>
      <c r="N9" s="207" t="s">
        <v>24</v>
      </c>
      <c r="O9" s="207" t="s">
        <v>76</v>
      </c>
      <c r="P9" s="207" t="s">
        <v>94</v>
      </c>
      <c r="Q9" s="207" t="s">
        <v>112</v>
      </c>
      <c r="R9" s="207" t="s">
        <v>130</v>
      </c>
      <c r="S9" s="207" t="s">
        <v>154</v>
      </c>
      <c r="T9" s="207" t="s">
        <v>188</v>
      </c>
      <c r="U9" s="207" t="s">
        <v>2378</v>
      </c>
      <c r="V9" s="207" t="s">
        <v>2379</v>
      </c>
      <c r="W9" s="207" t="s">
        <v>2380</v>
      </c>
      <c r="X9" s="207" t="s">
        <v>2381</v>
      </c>
      <c r="Y9" s="207" t="s">
        <v>2382</v>
      </c>
      <c r="Z9" s="207"/>
    </row>
    <row r="10" spans="1:26" ht="17.25">
      <c r="A10" s="206" t="s">
        <v>269</v>
      </c>
      <c r="B10" s="207" t="s">
        <v>269</v>
      </c>
      <c r="C10" s="207" t="s">
        <v>1295</v>
      </c>
      <c r="D10" s="207" t="s">
        <v>1315</v>
      </c>
      <c r="E10" s="208" t="s">
        <v>292</v>
      </c>
      <c r="F10" s="209" t="s">
        <v>1703</v>
      </c>
      <c r="G10" s="207" t="s">
        <v>1704</v>
      </c>
      <c r="H10" s="207" t="s">
        <v>1705</v>
      </c>
      <c r="I10" s="207" t="s">
        <v>1706</v>
      </c>
      <c r="J10" s="207" t="s">
        <v>269</v>
      </c>
      <c r="K10" s="207" t="s">
        <v>269</v>
      </c>
      <c r="L10" s="210" t="s">
        <v>296</v>
      </c>
      <c r="M10" s="207" t="s">
        <v>291</v>
      </c>
      <c r="N10" s="207" t="s">
        <v>1315</v>
      </c>
      <c r="O10" s="207" t="s">
        <v>293</v>
      </c>
      <c r="P10" s="207" t="s">
        <v>294</v>
      </c>
      <c r="Q10" s="207" t="s">
        <v>1370</v>
      </c>
      <c r="R10" s="207" t="s">
        <v>1381</v>
      </c>
      <c r="S10" s="207" t="s">
        <v>295</v>
      </c>
      <c r="T10" s="207" t="s">
        <v>297</v>
      </c>
      <c r="U10" s="207" t="s">
        <v>2383</v>
      </c>
      <c r="V10" s="207" t="s">
        <v>2384</v>
      </c>
      <c r="W10" s="207" t="s">
        <v>2385</v>
      </c>
      <c r="X10" s="207" t="s">
        <v>2386</v>
      </c>
      <c r="Y10" s="207" t="s">
        <v>2387</v>
      </c>
      <c r="Z10" s="207"/>
    </row>
    <row r="11" spans="1:26" ht="17.25">
      <c r="A11" s="206" t="s">
        <v>270</v>
      </c>
      <c r="B11" s="207" t="s">
        <v>270</v>
      </c>
      <c r="C11" s="207" t="s">
        <v>1425</v>
      </c>
      <c r="D11" s="207" t="s">
        <v>1390</v>
      </c>
      <c r="E11" s="208" t="s">
        <v>1505</v>
      </c>
      <c r="F11" s="209" t="s">
        <v>1707</v>
      </c>
      <c r="G11" s="207" t="s">
        <v>1708</v>
      </c>
      <c r="H11" s="207" t="s">
        <v>1709</v>
      </c>
      <c r="I11" s="207" t="s">
        <v>1710</v>
      </c>
      <c r="J11" s="207" t="s">
        <v>270</v>
      </c>
      <c r="K11" s="207" t="s">
        <v>270</v>
      </c>
      <c r="L11" s="210" t="s">
        <v>299</v>
      </c>
      <c r="M11" s="211" t="s">
        <v>1300</v>
      </c>
      <c r="N11" s="211" t="s">
        <v>1316</v>
      </c>
      <c r="O11" s="211" t="s">
        <v>1329</v>
      </c>
      <c r="P11" s="211" t="s">
        <v>1348</v>
      </c>
      <c r="Q11" s="211" t="s">
        <v>1371</v>
      </c>
      <c r="R11" s="207" t="s">
        <v>300</v>
      </c>
      <c r="S11" s="207" t="s">
        <v>1392</v>
      </c>
      <c r="T11" s="207" t="s">
        <v>298</v>
      </c>
      <c r="U11" s="207" t="s">
        <v>2388</v>
      </c>
      <c r="V11" s="207" t="s">
        <v>2389</v>
      </c>
      <c r="W11" s="207" t="s">
        <v>2390</v>
      </c>
      <c r="X11" s="207" t="s">
        <v>2391</v>
      </c>
      <c r="Y11" s="207" t="s">
        <v>2392</v>
      </c>
      <c r="Z11" s="207"/>
    </row>
    <row r="12" spans="1:26" ht="17.25">
      <c r="A12" s="206" t="s">
        <v>794</v>
      </c>
      <c r="B12" s="207" t="s">
        <v>794</v>
      </c>
      <c r="C12" s="207" t="s">
        <v>1426</v>
      </c>
      <c r="D12" s="207" t="s">
        <v>285</v>
      </c>
      <c r="E12" s="208" t="s">
        <v>1506</v>
      </c>
      <c r="F12" s="209" t="s">
        <v>1711</v>
      </c>
      <c r="G12" s="207" t="s">
        <v>1712</v>
      </c>
      <c r="H12" s="207" t="s">
        <v>1713</v>
      </c>
      <c r="I12" s="207" t="s">
        <v>1714</v>
      </c>
      <c r="J12" s="207" t="s">
        <v>794</v>
      </c>
      <c r="K12" s="207" t="s">
        <v>794</v>
      </c>
      <c r="L12" s="210" t="s">
        <v>283</v>
      </c>
      <c r="M12" s="207" t="s">
        <v>290</v>
      </c>
      <c r="N12" s="207" t="s">
        <v>1317</v>
      </c>
      <c r="O12" s="207" t="s">
        <v>289</v>
      </c>
      <c r="P12" s="207" t="s">
        <v>288</v>
      </c>
      <c r="Q12" s="207" t="s">
        <v>287</v>
      </c>
      <c r="R12" s="207" t="s">
        <v>286</v>
      </c>
      <c r="S12" s="207" t="s">
        <v>284</v>
      </c>
      <c r="T12" s="207" t="s">
        <v>282</v>
      </c>
      <c r="U12" s="207" t="s">
        <v>2393</v>
      </c>
      <c r="V12" s="207" t="s">
        <v>2394</v>
      </c>
      <c r="W12" s="207" t="s">
        <v>2395</v>
      </c>
      <c r="X12" s="207" t="s">
        <v>2396</v>
      </c>
      <c r="Y12" s="207" t="s">
        <v>2397</v>
      </c>
      <c r="Z12" s="207"/>
    </row>
    <row r="13" spans="1:26" ht="60">
      <c r="A13" s="206" t="s">
        <v>14</v>
      </c>
      <c r="B13" s="207" t="s">
        <v>14</v>
      </c>
      <c r="C13" s="207" t="s">
        <v>1427</v>
      </c>
      <c r="D13" s="207" t="s">
        <v>145</v>
      </c>
      <c r="E13" s="208" t="s">
        <v>1507</v>
      </c>
      <c r="F13" s="209" t="s">
        <v>1715</v>
      </c>
      <c r="G13" s="207" t="s">
        <v>1716</v>
      </c>
      <c r="H13" s="207" t="s">
        <v>1717</v>
      </c>
      <c r="I13" s="207" t="s">
        <v>1718</v>
      </c>
      <c r="J13" s="207" t="s">
        <v>14</v>
      </c>
      <c r="K13" s="207" t="s">
        <v>14</v>
      </c>
      <c r="L13" s="210" t="s">
        <v>171</v>
      </c>
      <c r="M13" s="207" t="s">
        <v>53</v>
      </c>
      <c r="N13" s="207" t="s">
        <v>25</v>
      </c>
      <c r="O13" s="207" t="s">
        <v>77</v>
      </c>
      <c r="P13" s="207" t="s">
        <v>95</v>
      </c>
      <c r="Q13" s="207" t="s">
        <v>113</v>
      </c>
      <c r="R13" s="207" t="s">
        <v>131</v>
      </c>
      <c r="S13" s="207" t="s">
        <v>155</v>
      </c>
      <c r="T13" s="207" t="s">
        <v>189</v>
      </c>
      <c r="U13" s="207" t="s">
        <v>2398</v>
      </c>
      <c r="V13" s="207" t="s">
        <v>2399</v>
      </c>
      <c r="W13" s="207" t="s">
        <v>2400</v>
      </c>
      <c r="X13" s="207" t="s">
        <v>2401</v>
      </c>
      <c r="Y13" s="207" t="s">
        <v>2402</v>
      </c>
      <c r="Z13" s="207"/>
    </row>
    <row r="14" spans="1:26" ht="60">
      <c r="A14" s="206" t="s">
        <v>778</v>
      </c>
      <c r="B14" s="207" t="s">
        <v>778</v>
      </c>
      <c r="C14" s="207" t="s">
        <v>1428</v>
      </c>
      <c r="D14" s="207" t="s">
        <v>1719</v>
      </c>
      <c r="E14" s="208" t="s">
        <v>1508</v>
      </c>
      <c r="F14" s="209" t="s">
        <v>1720</v>
      </c>
      <c r="G14" s="207" t="s">
        <v>1721</v>
      </c>
      <c r="H14" s="207" t="s">
        <v>1722</v>
      </c>
      <c r="I14" s="207" t="s">
        <v>1723</v>
      </c>
      <c r="J14" s="207" t="s">
        <v>778</v>
      </c>
      <c r="K14" s="207" t="s">
        <v>778</v>
      </c>
      <c r="L14" s="210" t="s">
        <v>782</v>
      </c>
      <c r="M14" s="207" t="s">
        <v>775</v>
      </c>
      <c r="N14" s="207" t="s">
        <v>776</v>
      </c>
      <c r="O14" s="207" t="s">
        <v>777</v>
      </c>
      <c r="P14" s="207" t="s">
        <v>1349</v>
      </c>
      <c r="Q14" s="207" t="s">
        <v>779</v>
      </c>
      <c r="R14" s="207" t="s">
        <v>780</v>
      </c>
      <c r="S14" s="207" t="s">
        <v>781</v>
      </c>
      <c r="T14" s="207" t="s">
        <v>783</v>
      </c>
      <c r="U14" s="207" t="s">
        <v>2403</v>
      </c>
      <c r="V14" s="207" t="s">
        <v>2404</v>
      </c>
      <c r="W14" s="207" t="s">
        <v>2405</v>
      </c>
      <c r="X14" s="207" t="s">
        <v>2406</v>
      </c>
      <c r="Y14" s="207" t="s">
        <v>2407</v>
      </c>
      <c r="Z14" s="207"/>
    </row>
    <row r="15" spans="1:26" ht="34.5">
      <c r="A15" s="206" t="s">
        <v>208</v>
      </c>
      <c r="B15" s="207" t="s">
        <v>208</v>
      </c>
      <c r="C15" s="207" t="s">
        <v>1429</v>
      </c>
      <c r="D15" s="207" t="s">
        <v>1724</v>
      </c>
      <c r="E15" s="208" t="s">
        <v>1509</v>
      </c>
      <c r="F15" s="209" t="s">
        <v>1725</v>
      </c>
      <c r="G15" s="207" t="s">
        <v>1726</v>
      </c>
      <c r="H15" s="207" t="s">
        <v>1727</v>
      </c>
      <c r="I15" s="207" t="s">
        <v>1728</v>
      </c>
      <c r="J15" s="207" t="s">
        <v>208</v>
      </c>
      <c r="K15" s="207" t="s">
        <v>208</v>
      </c>
      <c r="L15" s="210" t="s">
        <v>242</v>
      </c>
      <c r="M15" s="207" t="s">
        <v>232</v>
      </c>
      <c r="N15" s="207" t="s">
        <v>230</v>
      </c>
      <c r="O15" s="207" t="s">
        <v>228</v>
      </c>
      <c r="P15" s="207" t="s">
        <v>235</v>
      </c>
      <c r="Q15" s="207" t="s">
        <v>237</v>
      </c>
      <c r="R15" s="207" t="s">
        <v>239</v>
      </c>
      <c r="S15" s="207" t="s">
        <v>240</v>
      </c>
      <c r="T15" s="207" t="s">
        <v>244</v>
      </c>
      <c r="U15" s="207" t="s">
        <v>2408</v>
      </c>
      <c r="V15" s="207" t="s">
        <v>2409</v>
      </c>
      <c r="W15" s="207" t="s">
        <v>2410</v>
      </c>
      <c r="X15" s="207" t="s">
        <v>2411</v>
      </c>
      <c r="Y15" s="207" t="s">
        <v>2412</v>
      </c>
      <c r="Z15" s="207"/>
    </row>
    <row r="16" spans="1:26" ht="60">
      <c r="A16" s="206" t="s">
        <v>209</v>
      </c>
      <c r="B16" s="207" t="s">
        <v>209</v>
      </c>
      <c r="C16" s="207" t="s">
        <v>201</v>
      </c>
      <c r="D16" s="207" t="s">
        <v>1729</v>
      </c>
      <c r="E16" s="208" t="s">
        <v>1510</v>
      </c>
      <c r="F16" s="209" t="s">
        <v>1730</v>
      </c>
      <c r="G16" s="207" t="s">
        <v>1731</v>
      </c>
      <c r="H16" s="207" t="s">
        <v>1732</v>
      </c>
      <c r="I16" s="207" t="s">
        <v>1733</v>
      </c>
      <c r="J16" s="207" t="s">
        <v>209</v>
      </c>
      <c r="K16" s="207" t="s">
        <v>209</v>
      </c>
      <c r="L16" s="210" t="s">
        <v>206</v>
      </c>
      <c r="M16" s="207" t="s">
        <v>200</v>
      </c>
      <c r="N16" s="207" t="s">
        <v>202</v>
      </c>
      <c r="O16" s="207" t="s">
        <v>198</v>
      </c>
      <c r="P16" s="207" t="s">
        <v>199</v>
      </c>
      <c r="Q16" s="207" t="s">
        <v>203</v>
      </c>
      <c r="R16" s="207" t="s">
        <v>204</v>
      </c>
      <c r="S16" s="207" t="s">
        <v>205</v>
      </c>
      <c r="T16" s="207" t="s">
        <v>207</v>
      </c>
      <c r="U16" s="207" t="s">
        <v>2413</v>
      </c>
      <c r="V16" s="207" t="s">
        <v>2414</v>
      </c>
      <c r="W16" s="207" t="s">
        <v>2415</v>
      </c>
      <c r="X16" s="207" t="s">
        <v>2416</v>
      </c>
      <c r="Y16" s="207" t="s">
        <v>2417</v>
      </c>
      <c r="Z16" s="207"/>
    </row>
    <row r="17" spans="1:26" ht="17.25">
      <c r="A17" s="206" t="s">
        <v>210</v>
      </c>
      <c r="B17" s="207" t="s">
        <v>210</v>
      </c>
      <c r="C17" s="207" t="s">
        <v>234</v>
      </c>
      <c r="D17" s="207" t="s">
        <v>210</v>
      </c>
      <c r="E17" s="208" t="s">
        <v>211</v>
      </c>
      <c r="F17" s="209" t="s">
        <v>1734</v>
      </c>
      <c r="G17" s="207" t="s">
        <v>1735</v>
      </c>
      <c r="H17" s="207" t="s">
        <v>1736</v>
      </c>
      <c r="I17" s="207" t="s">
        <v>1737</v>
      </c>
      <c r="J17" s="207" t="s">
        <v>210</v>
      </c>
      <c r="K17" s="207" t="s">
        <v>210</v>
      </c>
      <c r="L17" s="210" t="s">
        <v>243</v>
      </c>
      <c r="M17" s="207" t="s">
        <v>233</v>
      </c>
      <c r="N17" s="207" t="s">
        <v>231</v>
      </c>
      <c r="O17" s="207" t="s">
        <v>229</v>
      </c>
      <c r="P17" s="207" t="s">
        <v>236</v>
      </c>
      <c r="Q17" s="207" t="s">
        <v>238</v>
      </c>
      <c r="R17" s="207" t="s">
        <v>212</v>
      </c>
      <c r="S17" s="207" t="s">
        <v>241</v>
      </c>
      <c r="T17" s="207" t="s">
        <v>245</v>
      </c>
      <c r="U17" s="207" t="s">
        <v>2418</v>
      </c>
      <c r="V17" s="207" t="s">
        <v>2419</v>
      </c>
      <c r="W17" s="207" t="s">
        <v>2420</v>
      </c>
      <c r="X17" s="207" t="s">
        <v>2421</v>
      </c>
      <c r="Y17" s="207" t="s">
        <v>2422</v>
      </c>
      <c r="Z17" s="207"/>
    </row>
    <row r="18" spans="1:26" ht="17.25">
      <c r="A18" s="206" t="s">
        <v>13</v>
      </c>
      <c r="B18" s="207" t="s">
        <v>13</v>
      </c>
      <c r="C18" s="207" t="s">
        <v>40</v>
      </c>
      <c r="D18" s="207" t="s">
        <v>146</v>
      </c>
      <c r="E18" s="208" t="s">
        <v>66</v>
      </c>
      <c r="F18" s="209" t="s">
        <v>1738</v>
      </c>
      <c r="G18" s="207" t="s">
        <v>1739</v>
      </c>
      <c r="H18" s="207" t="s">
        <v>1740</v>
      </c>
      <c r="I18" s="207" t="s">
        <v>1741</v>
      </c>
      <c r="J18" s="207" t="s">
        <v>13</v>
      </c>
      <c r="K18" s="207" t="s">
        <v>13</v>
      </c>
      <c r="L18" s="210" t="s">
        <v>172</v>
      </c>
      <c r="M18" s="207" t="s">
        <v>54</v>
      </c>
      <c r="N18" s="207" t="s">
        <v>26</v>
      </c>
      <c r="O18" s="207" t="s">
        <v>78</v>
      </c>
      <c r="P18" s="207" t="s">
        <v>96</v>
      </c>
      <c r="Q18" s="207" t="s">
        <v>114</v>
      </c>
      <c r="R18" s="207" t="s">
        <v>132</v>
      </c>
      <c r="S18" s="207" t="s">
        <v>156</v>
      </c>
      <c r="T18" s="207" t="s">
        <v>793</v>
      </c>
      <c r="U18" s="207" t="s">
        <v>2423</v>
      </c>
      <c r="V18" s="207" t="s">
        <v>2424</v>
      </c>
      <c r="W18" s="207" t="s">
        <v>2425</v>
      </c>
      <c r="X18" s="207" t="s">
        <v>2426</v>
      </c>
      <c r="Y18" s="207" t="s">
        <v>2427</v>
      </c>
      <c r="Z18" s="207"/>
    </row>
    <row r="19" spans="1:26" ht="17.25">
      <c r="A19" s="206" t="s">
        <v>15</v>
      </c>
      <c r="B19" s="207" t="s">
        <v>15</v>
      </c>
      <c r="C19" s="207" t="s">
        <v>41</v>
      </c>
      <c r="D19" s="207" t="s">
        <v>1742</v>
      </c>
      <c r="E19" s="208" t="s">
        <v>1511</v>
      </c>
      <c r="F19" s="209" t="s">
        <v>1743</v>
      </c>
      <c r="G19" s="207" t="s">
        <v>1744</v>
      </c>
      <c r="H19" s="207" t="s">
        <v>1745</v>
      </c>
      <c r="I19" s="207" t="s">
        <v>15</v>
      </c>
      <c r="J19" s="207" t="s">
        <v>15</v>
      </c>
      <c r="K19" s="207" t="s">
        <v>15</v>
      </c>
      <c r="L19" s="210" t="s">
        <v>173</v>
      </c>
      <c r="M19" s="207" t="s">
        <v>55</v>
      </c>
      <c r="N19" s="207" t="s">
        <v>27</v>
      </c>
      <c r="O19" s="207" t="s">
        <v>79</v>
      </c>
      <c r="P19" s="207" t="s">
        <v>97</v>
      </c>
      <c r="Q19" s="207" t="s">
        <v>115</v>
      </c>
      <c r="R19" s="207" t="s">
        <v>133</v>
      </c>
      <c r="S19" s="207" t="s">
        <v>15</v>
      </c>
      <c r="T19" s="207" t="s">
        <v>1411</v>
      </c>
      <c r="U19" s="207" t="s">
        <v>2428</v>
      </c>
      <c r="V19" s="207" t="s">
        <v>2429</v>
      </c>
      <c r="W19" s="207" t="s">
        <v>2430</v>
      </c>
      <c r="X19" s="207" t="s">
        <v>2431</v>
      </c>
      <c r="Y19" s="207" t="s">
        <v>2432</v>
      </c>
      <c r="Z19" s="207"/>
    </row>
    <row r="20" spans="1:26" ht="17.25">
      <c r="A20" s="206" t="s">
        <v>12</v>
      </c>
      <c r="B20" s="207" t="s">
        <v>12</v>
      </c>
      <c r="C20" s="207" t="s">
        <v>1430</v>
      </c>
      <c r="D20" s="207" t="s">
        <v>1746</v>
      </c>
      <c r="E20" s="208" t="s">
        <v>1512</v>
      </c>
      <c r="F20" s="209" t="s">
        <v>1747</v>
      </c>
      <c r="G20" s="207" t="s">
        <v>1748</v>
      </c>
      <c r="H20" s="207" t="s">
        <v>1749</v>
      </c>
      <c r="I20" s="207" t="s">
        <v>1750</v>
      </c>
      <c r="J20" s="207" t="s">
        <v>12</v>
      </c>
      <c r="K20" s="207" t="s">
        <v>12</v>
      </c>
      <c r="L20" s="210" t="s">
        <v>174</v>
      </c>
      <c r="M20" s="207" t="s">
        <v>56</v>
      </c>
      <c r="N20" s="207" t="s">
        <v>28</v>
      </c>
      <c r="O20" s="207" t="s">
        <v>80</v>
      </c>
      <c r="P20" s="207" t="s">
        <v>98</v>
      </c>
      <c r="Q20" s="207" t="s">
        <v>116</v>
      </c>
      <c r="R20" s="207" t="s">
        <v>134</v>
      </c>
      <c r="S20" s="207" t="s">
        <v>157</v>
      </c>
      <c r="T20" s="207" t="s">
        <v>190</v>
      </c>
      <c r="U20" s="207" t="s">
        <v>2433</v>
      </c>
      <c r="V20" s="207" t="s">
        <v>2434</v>
      </c>
      <c r="W20" s="207" t="s">
        <v>2435</v>
      </c>
      <c r="X20" s="207" t="s">
        <v>2436</v>
      </c>
      <c r="Y20" s="207" t="s">
        <v>2437</v>
      </c>
      <c r="Z20" s="207"/>
    </row>
    <row r="21" spans="1:26" ht="30">
      <c r="A21" s="206" t="s">
        <v>11</v>
      </c>
      <c r="B21" s="207" t="s">
        <v>11</v>
      </c>
      <c r="C21" s="207" t="s">
        <v>42</v>
      </c>
      <c r="D21" s="207" t="s">
        <v>1751</v>
      </c>
      <c r="E21" s="208" t="s">
        <v>67</v>
      </c>
      <c r="F21" s="209" t="s">
        <v>1752</v>
      </c>
      <c r="G21" s="207" t="s">
        <v>1753</v>
      </c>
      <c r="H21" s="207" t="s">
        <v>1754</v>
      </c>
      <c r="I21" s="207" t="s">
        <v>1755</v>
      </c>
      <c r="J21" s="207" t="s">
        <v>11</v>
      </c>
      <c r="K21" s="207" t="s">
        <v>11</v>
      </c>
      <c r="L21" s="210" t="s">
        <v>175</v>
      </c>
      <c r="M21" s="207" t="s">
        <v>57</v>
      </c>
      <c r="N21" s="207" t="s">
        <v>29</v>
      </c>
      <c r="O21" s="207" t="s">
        <v>81</v>
      </c>
      <c r="P21" s="207" t="s">
        <v>99</v>
      </c>
      <c r="Q21" s="207" t="s">
        <v>117</v>
      </c>
      <c r="R21" s="207" t="s">
        <v>135</v>
      </c>
      <c r="S21" s="207" t="s">
        <v>158</v>
      </c>
      <c r="T21" s="207" t="s">
        <v>191</v>
      </c>
      <c r="U21" s="207" t="s">
        <v>2438</v>
      </c>
      <c r="V21" s="207" t="s">
        <v>2439</v>
      </c>
      <c r="W21" s="207" t="s">
        <v>2440</v>
      </c>
      <c r="X21" s="207" t="s">
        <v>2441</v>
      </c>
      <c r="Y21" s="207" t="s">
        <v>2442</v>
      </c>
      <c r="Z21" s="207"/>
    </row>
    <row r="22" spans="1:26" ht="17.25">
      <c r="A22" s="206" t="s">
        <v>10</v>
      </c>
      <c r="B22" s="207" t="s">
        <v>10</v>
      </c>
      <c r="C22" s="207" t="s">
        <v>30</v>
      </c>
      <c r="D22" s="207" t="s">
        <v>1756</v>
      </c>
      <c r="E22" s="208" t="s">
        <v>68</v>
      </c>
      <c r="F22" s="209" t="s">
        <v>1757</v>
      </c>
      <c r="G22" s="207" t="s">
        <v>1758</v>
      </c>
      <c r="H22" s="207" t="s">
        <v>1759</v>
      </c>
      <c r="I22" s="207" t="s">
        <v>1760</v>
      </c>
      <c r="J22" s="207" t="s">
        <v>10</v>
      </c>
      <c r="K22" s="207" t="s">
        <v>10</v>
      </c>
      <c r="L22" s="210" t="s">
        <v>176</v>
      </c>
      <c r="M22" s="207" t="s">
        <v>58</v>
      </c>
      <c r="N22" s="207" t="s">
        <v>30</v>
      </c>
      <c r="O22" s="207" t="s">
        <v>82</v>
      </c>
      <c r="P22" s="207" t="s">
        <v>100</v>
      </c>
      <c r="Q22" s="207" t="s">
        <v>118</v>
      </c>
      <c r="R22" s="207" t="s">
        <v>10</v>
      </c>
      <c r="S22" s="207" t="s">
        <v>10</v>
      </c>
      <c r="T22" s="207" t="s">
        <v>192</v>
      </c>
      <c r="U22" s="207" t="s">
        <v>2443</v>
      </c>
      <c r="V22" s="207" t="s">
        <v>2444</v>
      </c>
      <c r="W22" s="207" t="s">
        <v>2445</v>
      </c>
      <c r="X22" s="207" t="s">
        <v>2446</v>
      </c>
      <c r="Y22" s="207" t="s">
        <v>2447</v>
      </c>
      <c r="Z22" s="207"/>
    </row>
    <row r="23" spans="1:26" ht="30">
      <c r="A23" s="206" t="s">
        <v>16</v>
      </c>
      <c r="B23" s="207" t="s">
        <v>16</v>
      </c>
      <c r="C23" s="207" t="s">
        <v>1431</v>
      </c>
      <c r="D23" s="207" t="s">
        <v>1761</v>
      </c>
      <c r="E23" s="208" t="s">
        <v>1513</v>
      </c>
      <c r="F23" s="209" t="s">
        <v>1762</v>
      </c>
      <c r="G23" s="207" t="s">
        <v>1763</v>
      </c>
      <c r="H23" s="207" t="s">
        <v>1764</v>
      </c>
      <c r="I23" s="207" t="s">
        <v>1765</v>
      </c>
      <c r="J23" s="207" t="s">
        <v>16</v>
      </c>
      <c r="K23" s="207" t="s">
        <v>16</v>
      </c>
      <c r="L23" s="210" t="s">
        <v>177</v>
      </c>
      <c r="M23" s="207" t="s">
        <v>59</v>
      </c>
      <c r="N23" s="207" t="s">
        <v>31</v>
      </c>
      <c r="O23" s="207" t="s">
        <v>83</v>
      </c>
      <c r="P23" s="207" t="s">
        <v>101</v>
      </c>
      <c r="Q23" s="207" t="s">
        <v>119</v>
      </c>
      <c r="R23" s="207" t="s">
        <v>136</v>
      </c>
      <c r="S23" s="207" t="s">
        <v>159</v>
      </c>
      <c r="T23" s="207" t="s">
        <v>193</v>
      </c>
      <c r="U23" s="207" t="s">
        <v>2448</v>
      </c>
      <c r="V23" s="207" t="s">
        <v>2449</v>
      </c>
      <c r="W23" s="207" t="s">
        <v>2450</v>
      </c>
      <c r="X23" s="207" t="s">
        <v>2451</v>
      </c>
      <c r="Y23" s="207" t="s">
        <v>2452</v>
      </c>
      <c r="Z23" s="207"/>
    </row>
    <row r="24" spans="1:26" ht="17.25">
      <c r="A24" s="206" t="s">
        <v>9</v>
      </c>
      <c r="B24" s="207" t="s">
        <v>9</v>
      </c>
      <c r="C24" s="207" t="s">
        <v>32</v>
      </c>
      <c r="D24" s="207" t="s">
        <v>1766</v>
      </c>
      <c r="E24" s="208" t="s">
        <v>1514</v>
      </c>
      <c r="F24" s="209" t="s">
        <v>1767</v>
      </c>
      <c r="G24" s="207" t="s">
        <v>1768</v>
      </c>
      <c r="H24" s="207" t="s">
        <v>1769</v>
      </c>
      <c r="I24" s="207" t="s">
        <v>1770</v>
      </c>
      <c r="J24" s="207" t="s">
        <v>9</v>
      </c>
      <c r="K24" s="207" t="s">
        <v>9</v>
      </c>
      <c r="L24" s="210" t="s">
        <v>178</v>
      </c>
      <c r="M24" s="207" t="s">
        <v>60</v>
      </c>
      <c r="N24" s="207" t="s">
        <v>32</v>
      </c>
      <c r="O24" s="207" t="s">
        <v>84</v>
      </c>
      <c r="P24" s="207" t="s">
        <v>102</v>
      </c>
      <c r="Q24" s="207" t="s">
        <v>120</v>
      </c>
      <c r="R24" s="207" t="s">
        <v>137</v>
      </c>
      <c r="S24" s="207" t="s">
        <v>160</v>
      </c>
      <c r="T24" s="207" t="s">
        <v>194</v>
      </c>
      <c r="U24" s="207" t="s">
        <v>2453</v>
      </c>
      <c r="V24" s="207" t="s">
        <v>2454</v>
      </c>
      <c r="W24" s="207" t="s">
        <v>2455</v>
      </c>
      <c r="X24" s="207" t="s">
        <v>2456</v>
      </c>
      <c r="Y24" s="207" t="s">
        <v>2457</v>
      </c>
      <c r="Z24" s="207"/>
    </row>
    <row r="25" spans="1:26" ht="17.25">
      <c r="A25" s="206" t="s">
        <v>8</v>
      </c>
      <c r="B25" s="207" t="s">
        <v>8</v>
      </c>
      <c r="C25" s="207" t="s">
        <v>43</v>
      </c>
      <c r="D25" s="207" t="s">
        <v>1771</v>
      </c>
      <c r="E25" s="208" t="s">
        <v>1515</v>
      </c>
      <c r="F25" s="209" t="s">
        <v>1772</v>
      </c>
      <c r="G25" s="207" t="s">
        <v>1773</v>
      </c>
      <c r="H25" s="207" t="s">
        <v>1774</v>
      </c>
      <c r="I25" s="207" t="s">
        <v>1775</v>
      </c>
      <c r="J25" s="207" t="s">
        <v>8</v>
      </c>
      <c r="K25" s="207" t="s">
        <v>8</v>
      </c>
      <c r="L25" s="210" t="s">
        <v>179</v>
      </c>
      <c r="M25" s="207" t="s">
        <v>61</v>
      </c>
      <c r="N25" s="207" t="s">
        <v>33</v>
      </c>
      <c r="O25" s="207" t="s">
        <v>85</v>
      </c>
      <c r="P25" s="207" t="s">
        <v>103</v>
      </c>
      <c r="Q25" s="207" t="s">
        <v>121</v>
      </c>
      <c r="R25" s="207" t="s">
        <v>138</v>
      </c>
      <c r="S25" s="207" t="s">
        <v>161</v>
      </c>
      <c r="T25" s="207" t="s">
        <v>195</v>
      </c>
      <c r="U25" s="207" t="s">
        <v>2458</v>
      </c>
      <c r="V25" s="207" t="s">
        <v>2459</v>
      </c>
      <c r="W25" s="207" t="s">
        <v>2460</v>
      </c>
      <c r="X25" s="207" t="s">
        <v>2461</v>
      </c>
      <c r="Y25" s="207" t="s">
        <v>2462</v>
      </c>
      <c r="Z25" s="207"/>
    </row>
    <row r="26" spans="1:26" ht="17.25">
      <c r="A26" s="206" t="s">
        <v>7</v>
      </c>
      <c r="B26" s="207" t="s">
        <v>7</v>
      </c>
      <c r="C26" s="207" t="s">
        <v>44</v>
      </c>
      <c r="D26" s="207" t="s">
        <v>1776</v>
      </c>
      <c r="E26" s="208" t="s">
        <v>1516</v>
      </c>
      <c r="F26" s="209" t="s">
        <v>1777</v>
      </c>
      <c r="G26" s="207" t="s">
        <v>1778</v>
      </c>
      <c r="H26" s="207" t="s">
        <v>1779</v>
      </c>
      <c r="I26" s="207" t="s">
        <v>1780</v>
      </c>
      <c r="J26" s="207" t="s">
        <v>7</v>
      </c>
      <c r="K26" s="207" t="s">
        <v>7</v>
      </c>
      <c r="L26" s="210" t="s">
        <v>180</v>
      </c>
      <c r="M26" s="207" t="s">
        <v>62</v>
      </c>
      <c r="N26" s="207" t="s">
        <v>34</v>
      </c>
      <c r="O26" s="207" t="s">
        <v>86</v>
      </c>
      <c r="P26" s="207" t="s">
        <v>104</v>
      </c>
      <c r="Q26" s="207" t="s">
        <v>122</v>
      </c>
      <c r="R26" s="207" t="s">
        <v>139</v>
      </c>
      <c r="S26" s="207" t="s">
        <v>162</v>
      </c>
      <c r="T26" s="207" t="s">
        <v>196</v>
      </c>
      <c r="U26" s="207" t="s">
        <v>2463</v>
      </c>
      <c r="V26" s="207" t="s">
        <v>2464</v>
      </c>
      <c r="W26" s="207" t="s">
        <v>2465</v>
      </c>
      <c r="X26" s="207" t="s">
        <v>2466</v>
      </c>
      <c r="Y26" s="207" t="s">
        <v>2467</v>
      </c>
      <c r="Z26" s="207"/>
    </row>
    <row r="27" spans="1:26" ht="17.25">
      <c r="A27" s="206" t="s">
        <v>17</v>
      </c>
      <c r="B27" s="207" t="s">
        <v>17</v>
      </c>
      <c r="C27" s="207" t="s">
        <v>45</v>
      </c>
      <c r="D27" s="207" t="s">
        <v>147</v>
      </c>
      <c r="E27" s="208" t="s">
        <v>69</v>
      </c>
      <c r="F27" s="209" t="s">
        <v>1781</v>
      </c>
      <c r="G27" s="207" t="s">
        <v>1782</v>
      </c>
      <c r="H27" s="207" t="s">
        <v>1783</v>
      </c>
      <c r="I27" s="207" t="s">
        <v>1784</v>
      </c>
      <c r="J27" s="207" t="s">
        <v>17</v>
      </c>
      <c r="K27" s="207" t="s">
        <v>17</v>
      </c>
      <c r="L27" s="210" t="s">
        <v>181</v>
      </c>
      <c r="M27" s="207" t="s">
        <v>63</v>
      </c>
      <c r="N27" s="207" t="s">
        <v>35</v>
      </c>
      <c r="O27" s="207" t="s">
        <v>87</v>
      </c>
      <c r="P27" s="207" t="s">
        <v>105</v>
      </c>
      <c r="Q27" s="207" t="s">
        <v>123</v>
      </c>
      <c r="R27" s="207" t="s">
        <v>140</v>
      </c>
      <c r="S27" s="207" t="s">
        <v>163</v>
      </c>
      <c r="T27" s="207" t="s">
        <v>197</v>
      </c>
      <c r="U27" s="207" t="s">
        <v>2468</v>
      </c>
      <c r="V27" s="207" t="s">
        <v>2469</v>
      </c>
      <c r="W27" s="207" t="s">
        <v>2470</v>
      </c>
      <c r="X27" s="207" t="s">
        <v>2471</v>
      </c>
      <c r="Y27" s="207" t="s">
        <v>2472</v>
      </c>
      <c r="Z27" s="207"/>
    </row>
    <row r="28" spans="1:26" ht="17.25">
      <c r="A28" s="206">
        <v>1</v>
      </c>
      <c r="B28" s="207" t="s">
        <v>1604</v>
      </c>
      <c r="C28" s="207">
        <v>1</v>
      </c>
      <c r="D28" s="207">
        <v>1</v>
      </c>
      <c r="E28" s="212" t="s">
        <v>1517</v>
      </c>
      <c r="F28" s="209" t="s">
        <v>1785</v>
      </c>
      <c r="G28" s="207">
        <v>1</v>
      </c>
      <c r="H28" s="207">
        <v>1</v>
      </c>
      <c r="I28" s="213">
        <v>1</v>
      </c>
      <c r="J28" s="207" t="s">
        <v>1604</v>
      </c>
      <c r="K28" s="207" t="s">
        <v>1604</v>
      </c>
      <c r="L28" s="210">
        <v>1</v>
      </c>
      <c r="M28" s="207">
        <v>1</v>
      </c>
      <c r="N28" s="207">
        <v>1</v>
      </c>
      <c r="O28" s="207">
        <v>1</v>
      </c>
      <c r="P28" s="207">
        <v>1</v>
      </c>
      <c r="Q28" s="207">
        <v>1</v>
      </c>
      <c r="R28" s="207">
        <v>1</v>
      </c>
      <c r="S28" s="207">
        <v>1</v>
      </c>
      <c r="T28" s="207">
        <v>1</v>
      </c>
      <c r="U28" s="207">
        <v>1</v>
      </c>
      <c r="V28" s="207">
        <v>1</v>
      </c>
      <c r="W28" s="207">
        <v>1</v>
      </c>
      <c r="X28" s="207" t="s">
        <v>2473</v>
      </c>
      <c r="Y28" s="207">
        <v>1</v>
      </c>
      <c r="Z28" s="207"/>
    </row>
    <row r="29" spans="1:26" ht="17.25">
      <c r="A29" s="206">
        <v>2</v>
      </c>
      <c r="B29" s="207" t="s">
        <v>1605</v>
      </c>
      <c r="C29" s="207">
        <v>2</v>
      </c>
      <c r="D29" s="207">
        <v>2</v>
      </c>
      <c r="E29" s="212" t="s">
        <v>1518</v>
      </c>
      <c r="F29" s="209" t="s">
        <v>1786</v>
      </c>
      <c r="G29" s="207">
        <v>2</v>
      </c>
      <c r="H29" s="207">
        <v>2</v>
      </c>
      <c r="I29" s="213">
        <v>2</v>
      </c>
      <c r="J29" s="207" t="s">
        <v>1605</v>
      </c>
      <c r="K29" s="207" t="s">
        <v>1605</v>
      </c>
      <c r="L29" s="210">
        <v>2</v>
      </c>
      <c r="M29" s="207">
        <v>2</v>
      </c>
      <c r="N29" s="207">
        <v>2</v>
      </c>
      <c r="O29" s="207">
        <v>2</v>
      </c>
      <c r="P29" s="207">
        <v>2</v>
      </c>
      <c r="Q29" s="207">
        <v>2</v>
      </c>
      <c r="R29" s="207">
        <v>2</v>
      </c>
      <c r="S29" s="207">
        <v>2</v>
      </c>
      <c r="T29" s="207">
        <v>2</v>
      </c>
      <c r="U29" s="207">
        <v>2</v>
      </c>
      <c r="V29" s="207">
        <v>2</v>
      </c>
      <c r="W29" s="207">
        <v>2</v>
      </c>
      <c r="X29" s="207">
        <v>2</v>
      </c>
      <c r="Y29" s="207">
        <v>2</v>
      </c>
      <c r="Z29" s="207"/>
    </row>
    <row r="30" spans="1:26" ht="17.25">
      <c r="A30" s="206">
        <v>3</v>
      </c>
      <c r="B30" s="207" t="s">
        <v>1607</v>
      </c>
      <c r="C30" s="207">
        <v>3</v>
      </c>
      <c r="D30" s="207">
        <v>3</v>
      </c>
      <c r="E30" s="212" t="s">
        <v>1519</v>
      </c>
      <c r="F30" s="209" t="s">
        <v>1787</v>
      </c>
      <c r="G30" s="207">
        <v>3</v>
      </c>
      <c r="H30" s="207">
        <v>3</v>
      </c>
      <c r="I30" s="207">
        <v>3</v>
      </c>
      <c r="J30" s="207" t="s">
        <v>1607</v>
      </c>
      <c r="K30" s="207" t="s">
        <v>1607</v>
      </c>
      <c r="L30" s="210">
        <v>3</v>
      </c>
      <c r="M30" s="207">
        <v>3</v>
      </c>
      <c r="N30" s="207">
        <v>3</v>
      </c>
      <c r="O30" s="207">
        <v>3</v>
      </c>
      <c r="P30" s="207">
        <v>3</v>
      </c>
      <c r="Q30" s="207">
        <v>3</v>
      </c>
      <c r="R30" s="207">
        <v>3</v>
      </c>
      <c r="S30" s="207">
        <v>3</v>
      </c>
      <c r="T30" s="207">
        <v>3</v>
      </c>
      <c r="U30" s="207">
        <v>3</v>
      </c>
      <c r="V30" s="207">
        <v>3</v>
      </c>
      <c r="W30" s="207">
        <v>3</v>
      </c>
      <c r="X30" s="207">
        <v>3</v>
      </c>
      <c r="Y30" s="207">
        <v>3</v>
      </c>
      <c r="Z30" s="207"/>
    </row>
    <row r="31" spans="1:26" ht="17.25">
      <c r="A31" s="206">
        <v>4</v>
      </c>
      <c r="B31" s="207" t="s">
        <v>1421</v>
      </c>
      <c r="C31" s="207">
        <v>4</v>
      </c>
      <c r="D31" s="207">
        <v>4</v>
      </c>
      <c r="E31" s="208" t="s">
        <v>2473</v>
      </c>
      <c r="F31" s="209" t="s">
        <v>1788</v>
      </c>
      <c r="G31" s="207">
        <v>4</v>
      </c>
      <c r="H31" s="207">
        <v>4</v>
      </c>
      <c r="I31" s="213">
        <v>4</v>
      </c>
      <c r="J31" s="207" t="s">
        <v>1421</v>
      </c>
      <c r="K31" s="207" t="s">
        <v>1421</v>
      </c>
      <c r="L31" s="210">
        <v>4</v>
      </c>
      <c r="M31" s="207">
        <v>4</v>
      </c>
      <c r="N31" s="207">
        <v>4</v>
      </c>
      <c r="O31" s="207">
        <v>4</v>
      </c>
      <c r="P31" s="207">
        <v>4</v>
      </c>
      <c r="Q31" s="207">
        <v>4</v>
      </c>
      <c r="R31" s="207">
        <v>4</v>
      </c>
      <c r="S31" s="207">
        <v>4</v>
      </c>
      <c r="T31" s="207">
        <v>4</v>
      </c>
      <c r="U31" s="207">
        <v>4</v>
      </c>
      <c r="V31" s="207">
        <v>4</v>
      </c>
      <c r="W31" s="207">
        <v>4</v>
      </c>
      <c r="X31" s="207">
        <v>4</v>
      </c>
      <c r="Y31" s="207">
        <v>4</v>
      </c>
      <c r="Z31" s="207"/>
    </row>
    <row r="32" spans="1:26" ht="17.25">
      <c r="A32" s="206" t="s">
        <v>213</v>
      </c>
      <c r="B32" s="207" t="s">
        <v>213</v>
      </c>
      <c r="C32" s="207" t="s">
        <v>266</v>
      </c>
      <c r="D32" s="207" t="s">
        <v>1789</v>
      </c>
      <c r="E32" s="208" t="s">
        <v>260</v>
      </c>
      <c r="F32" s="209" t="s">
        <v>1790</v>
      </c>
      <c r="G32" s="207" t="s">
        <v>1791</v>
      </c>
      <c r="H32" s="207" t="s">
        <v>1792</v>
      </c>
      <c r="I32" s="207" t="s">
        <v>1793</v>
      </c>
      <c r="J32" s="207" t="s">
        <v>213</v>
      </c>
      <c r="K32" s="207" t="s">
        <v>213</v>
      </c>
      <c r="L32" s="210" t="s">
        <v>248</v>
      </c>
      <c r="M32" s="207" t="s">
        <v>264</v>
      </c>
      <c r="N32" s="207" t="s">
        <v>262</v>
      </c>
      <c r="O32" s="207" t="s">
        <v>258</v>
      </c>
      <c r="P32" s="207" t="s">
        <v>256</v>
      </c>
      <c r="Q32" s="207" t="s">
        <v>254</v>
      </c>
      <c r="R32" s="207" t="s">
        <v>252</v>
      </c>
      <c r="S32" s="207" t="s">
        <v>250</v>
      </c>
      <c r="T32" s="207" t="s">
        <v>246</v>
      </c>
      <c r="U32" s="207" t="s">
        <v>2474</v>
      </c>
      <c r="V32" s="207" t="s">
        <v>2475</v>
      </c>
      <c r="W32" s="207" t="s">
        <v>2476</v>
      </c>
      <c r="X32" s="207" t="s">
        <v>2477</v>
      </c>
      <c r="Y32" s="207" t="s">
        <v>2478</v>
      </c>
      <c r="Z32" s="207"/>
    </row>
    <row r="33" spans="1:26" ht="17.25">
      <c r="A33" s="206" t="s">
        <v>214</v>
      </c>
      <c r="B33" s="207" t="s">
        <v>214</v>
      </c>
      <c r="C33" s="207" t="s">
        <v>263</v>
      </c>
      <c r="D33" s="207" t="s">
        <v>1794</v>
      </c>
      <c r="E33" s="208" t="s">
        <v>261</v>
      </c>
      <c r="F33" s="209" t="s">
        <v>1795</v>
      </c>
      <c r="G33" s="207" t="s">
        <v>1796</v>
      </c>
      <c r="H33" s="207" t="s">
        <v>1797</v>
      </c>
      <c r="I33" s="207" t="s">
        <v>1798</v>
      </c>
      <c r="J33" s="207" t="s">
        <v>214</v>
      </c>
      <c r="K33" s="207" t="s">
        <v>214</v>
      </c>
      <c r="L33" s="210" t="s">
        <v>249</v>
      </c>
      <c r="M33" s="207" t="s">
        <v>265</v>
      </c>
      <c r="N33" s="207" t="s">
        <v>263</v>
      </c>
      <c r="O33" s="207" t="s">
        <v>259</v>
      </c>
      <c r="P33" s="207" t="s">
        <v>257</v>
      </c>
      <c r="Q33" s="207" t="s">
        <v>255</v>
      </c>
      <c r="R33" s="207" t="s">
        <v>253</v>
      </c>
      <c r="S33" s="207" t="s">
        <v>251</v>
      </c>
      <c r="T33" s="207" t="s">
        <v>247</v>
      </c>
      <c r="U33" s="207" t="s">
        <v>2479</v>
      </c>
      <c r="V33" s="207" t="s">
        <v>2480</v>
      </c>
      <c r="W33" s="207" t="s">
        <v>2481</v>
      </c>
      <c r="X33" s="207" t="s">
        <v>2482</v>
      </c>
      <c r="Y33" s="207" t="s">
        <v>2483</v>
      </c>
      <c r="Z33" s="207"/>
    </row>
    <row r="34" spans="1:26" ht="45">
      <c r="A34" s="206" t="s">
        <v>271</v>
      </c>
      <c r="B34" s="207" t="s">
        <v>271</v>
      </c>
      <c r="C34" s="207" t="s">
        <v>273</v>
      </c>
      <c r="D34" s="207" t="s">
        <v>278</v>
      </c>
      <c r="E34" s="208" t="s">
        <v>1520</v>
      </c>
      <c r="F34" s="209" t="s">
        <v>1799</v>
      </c>
      <c r="G34" s="207" t="s">
        <v>1800</v>
      </c>
      <c r="H34" s="207" t="s">
        <v>1801</v>
      </c>
      <c r="I34" s="207" t="s">
        <v>1802</v>
      </c>
      <c r="J34" s="207" t="s">
        <v>271</v>
      </c>
      <c r="K34" s="207" t="s">
        <v>271</v>
      </c>
      <c r="L34" s="210" t="s">
        <v>280</v>
      </c>
      <c r="M34" s="207" t="s">
        <v>275</v>
      </c>
      <c r="N34" s="207" t="s">
        <v>274</v>
      </c>
      <c r="O34" s="207" t="s">
        <v>276</v>
      </c>
      <c r="P34" s="207" t="s">
        <v>1350</v>
      </c>
      <c r="Q34" s="207" t="s">
        <v>272</v>
      </c>
      <c r="R34" s="207" t="s">
        <v>277</v>
      </c>
      <c r="S34" s="207" t="s">
        <v>279</v>
      </c>
      <c r="T34" s="207" t="s">
        <v>281</v>
      </c>
      <c r="U34" s="207" t="s">
        <v>2484</v>
      </c>
      <c r="V34" s="207" t="s">
        <v>2485</v>
      </c>
      <c r="W34" s="207" t="s">
        <v>2486</v>
      </c>
      <c r="X34" s="207" t="s">
        <v>2487</v>
      </c>
      <c r="Y34" s="207" t="s">
        <v>2488</v>
      </c>
      <c r="Z34" s="207"/>
    </row>
    <row r="35" spans="1:26" ht="17.25">
      <c r="A35" s="214" t="s">
        <v>1642</v>
      </c>
      <c r="B35" s="207" t="s">
        <v>1642</v>
      </c>
      <c r="C35" s="215" t="s">
        <v>2297</v>
      </c>
      <c r="D35" s="215" t="s">
        <v>2296</v>
      </c>
      <c r="E35" s="208" t="s">
        <v>1603</v>
      </c>
      <c r="F35" s="215" t="s">
        <v>2300</v>
      </c>
      <c r="G35" s="215" t="s">
        <v>2303</v>
      </c>
      <c r="H35" s="215" t="s">
        <v>2306</v>
      </c>
      <c r="I35" s="215" t="s">
        <v>2489</v>
      </c>
      <c r="J35" s="207" t="s">
        <v>1642</v>
      </c>
      <c r="K35" s="207" t="s">
        <v>1642</v>
      </c>
      <c r="L35" s="215" t="s">
        <v>2490</v>
      </c>
      <c r="M35" s="215" t="s">
        <v>2491</v>
      </c>
      <c r="N35" s="215" t="s">
        <v>2492</v>
      </c>
      <c r="O35" s="215" t="s">
        <v>2493</v>
      </c>
      <c r="P35" s="215" t="s">
        <v>2494</v>
      </c>
      <c r="Q35" s="215" t="s">
        <v>2495</v>
      </c>
      <c r="R35" s="215" t="s">
        <v>2496</v>
      </c>
      <c r="S35" s="215" t="s">
        <v>2497</v>
      </c>
      <c r="T35" s="215" t="s">
        <v>2498</v>
      </c>
      <c r="U35" s="215" t="s">
        <v>2499</v>
      </c>
      <c r="V35" s="215" t="s">
        <v>2500</v>
      </c>
      <c r="W35" s="215" t="s">
        <v>2501</v>
      </c>
      <c r="X35" s="215" t="s">
        <v>2502</v>
      </c>
      <c r="Y35" s="215" t="s">
        <v>2503</v>
      </c>
      <c r="Z35" s="215"/>
    </row>
    <row r="36" spans="1:26" ht="17.25">
      <c r="A36" s="206" t="s">
        <v>442</v>
      </c>
      <c r="B36" s="207" t="s">
        <v>442</v>
      </c>
      <c r="C36" s="207" t="s">
        <v>445</v>
      </c>
      <c r="D36" s="207" t="s">
        <v>1803</v>
      </c>
      <c r="E36" s="208" t="s">
        <v>447</v>
      </c>
      <c r="F36" s="209" t="s">
        <v>1804</v>
      </c>
      <c r="G36" s="207" t="s">
        <v>1805</v>
      </c>
      <c r="H36" s="207" t="s">
        <v>1806</v>
      </c>
      <c r="I36" s="207" t="s">
        <v>1807</v>
      </c>
      <c r="J36" s="207" t="s">
        <v>442</v>
      </c>
      <c r="K36" s="207" t="s">
        <v>442</v>
      </c>
      <c r="L36" s="210" t="s">
        <v>454</v>
      </c>
      <c r="M36" s="207" t="s">
        <v>443</v>
      </c>
      <c r="N36" s="207" t="s">
        <v>444</v>
      </c>
      <c r="O36" s="207" t="s">
        <v>448</v>
      </c>
      <c r="P36" s="207" t="s">
        <v>449</v>
      </c>
      <c r="Q36" s="207" t="s">
        <v>450</v>
      </c>
      <c r="R36" s="207" t="s">
        <v>451</v>
      </c>
      <c r="S36" s="207" t="s">
        <v>453</v>
      </c>
      <c r="T36" s="207" t="s">
        <v>455</v>
      </c>
      <c r="U36" s="207" t="s">
        <v>2504</v>
      </c>
      <c r="V36" s="207" t="s">
        <v>2505</v>
      </c>
      <c r="W36" s="207" t="s">
        <v>2506</v>
      </c>
      <c r="X36" s="207" t="s">
        <v>2507</v>
      </c>
      <c r="Y36" s="207" t="s">
        <v>2508</v>
      </c>
      <c r="Z36" s="207"/>
    </row>
    <row r="37" spans="1:26" ht="120">
      <c r="A37" s="206" t="s">
        <v>446</v>
      </c>
      <c r="B37" s="207" t="s">
        <v>446</v>
      </c>
      <c r="C37" s="207" t="s">
        <v>1432</v>
      </c>
      <c r="D37" s="207" t="s">
        <v>452</v>
      </c>
      <c r="E37" s="208" t="s">
        <v>1521</v>
      </c>
      <c r="F37" s="209" t="s">
        <v>1808</v>
      </c>
      <c r="G37" s="207" t="s">
        <v>1809</v>
      </c>
      <c r="H37" s="207" t="s">
        <v>1810</v>
      </c>
      <c r="I37" s="207" t="s">
        <v>2509</v>
      </c>
      <c r="J37" s="207" t="s">
        <v>446</v>
      </c>
      <c r="K37" s="207" t="s">
        <v>446</v>
      </c>
      <c r="L37" s="210" t="s">
        <v>2510</v>
      </c>
      <c r="M37" s="207" t="s">
        <v>1301</v>
      </c>
      <c r="N37" s="207" t="s">
        <v>2511</v>
      </c>
      <c r="O37" s="207" t="s">
        <v>1330</v>
      </c>
      <c r="P37" s="207" t="s">
        <v>2512</v>
      </c>
      <c r="Q37" s="207" t="s">
        <v>2513</v>
      </c>
      <c r="R37" s="207" t="s">
        <v>2514</v>
      </c>
      <c r="S37" s="207" t="s">
        <v>2515</v>
      </c>
      <c r="T37" s="207" t="s">
        <v>2516</v>
      </c>
      <c r="U37" s="207" t="s">
        <v>2517</v>
      </c>
      <c r="V37" s="207" t="s">
        <v>2518</v>
      </c>
      <c r="W37" s="207" t="s">
        <v>2519</v>
      </c>
      <c r="X37" s="207" t="s">
        <v>2520</v>
      </c>
      <c r="Y37" s="207" t="s">
        <v>2521</v>
      </c>
      <c r="Z37" s="207"/>
    </row>
    <row r="38" spans="1:26" ht="17.25">
      <c r="A38" s="206"/>
      <c r="B38" s="207"/>
      <c r="C38" s="207"/>
      <c r="D38" s="207"/>
      <c r="E38" s="208"/>
      <c r="F38" s="209"/>
      <c r="G38" s="207"/>
      <c r="H38" s="207"/>
      <c r="I38" s="207"/>
      <c r="J38" s="207"/>
      <c r="K38" s="207"/>
      <c r="L38" s="210"/>
      <c r="M38" s="207"/>
      <c r="N38" s="207"/>
      <c r="O38" s="207"/>
      <c r="P38" s="207"/>
      <c r="Q38" s="207"/>
      <c r="R38" s="207"/>
      <c r="S38" s="207"/>
      <c r="T38" s="207"/>
      <c r="U38" s="207"/>
      <c r="V38" s="207"/>
      <c r="W38" s="207"/>
      <c r="X38" s="207"/>
      <c r="Y38" s="207"/>
      <c r="Z38" s="207"/>
    </row>
    <row r="39" spans="1:26" ht="17.25">
      <c r="A39" s="206"/>
      <c r="B39" s="207"/>
      <c r="C39" s="207"/>
      <c r="D39" s="207"/>
      <c r="E39" s="208"/>
      <c r="F39" s="209"/>
      <c r="G39" s="207"/>
      <c r="H39" s="207"/>
      <c r="I39" s="207"/>
      <c r="J39" s="207"/>
      <c r="K39" s="207"/>
      <c r="L39" s="210"/>
      <c r="M39" s="207"/>
      <c r="N39" s="207"/>
      <c r="O39" s="207"/>
      <c r="P39" s="207"/>
      <c r="Q39" s="207"/>
      <c r="R39" s="207"/>
      <c r="S39" s="207"/>
      <c r="T39" s="207"/>
      <c r="U39" s="207"/>
      <c r="V39" s="207"/>
      <c r="W39" s="207"/>
      <c r="X39" s="207"/>
      <c r="Y39" s="207"/>
      <c r="Z39" s="207"/>
    </row>
    <row r="40" spans="1:26" ht="17.25">
      <c r="A40" s="206" t="s">
        <v>792</v>
      </c>
      <c r="B40" s="207" t="s">
        <v>792</v>
      </c>
      <c r="C40" s="207" t="s">
        <v>1296</v>
      </c>
      <c r="D40" s="207" t="s">
        <v>1811</v>
      </c>
      <c r="E40" s="208" t="s">
        <v>1327</v>
      </c>
      <c r="F40" s="209" t="s">
        <v>1812</v>
      </c>
      <c r="G40" s="207" t="s">
        <v>792</v>
      </c>
      <c r="H40" s="207" t="s">
        <v>792</v>
      </c>
      <c r="I40" s="207" t="s">
        <v>1813</v>
      </c>
      <c r="J40" s="207" t="s">
        <v>792</v>
      </c>
      <c r="K40" s="207" t="s">
        <v>792</v>
      </c>
      <c r="L40" s="210" t="s">
        <v>792</v>
      </c>
      <c r="M40" s="207" t="s">
        <v>1302</v>
      </c>
      <c r="N40" s="207" t="s">
        <v>2522</v>
      </c>
      <c r="O40" s="207" t="s">
        <v>1331</v>
      </c>
      <c r="P40" s="207" t="s">
        <v>1351</v>
      </c>
      <c r="Q40" s="207" t="s">
        <v>2523</v>
      </c>
      <c r="R40" s="207" t="s">
        <v>792</v>
      </c>
      <c r="S40" s="207" t="s">
        <v>792</v>
      </c>
      <c r="T40" s="207" t="s">
        <v>1412</v>
      </c>
      <c r="U40" s="207" t="s">
        <v>792</v>
      </c>
      <c r="V40" s="207" t="s">
        <v>2524</v>
      </c>
      <c r="W40" s="207" t="s">
        <v>792</v>
      </c>
      <c r="X40" s="207" t="s">
        <v>2525</v>
      </c>
      <c r="Y40" s="207" t="s">
        <v>2526</v>
      </c>
      <c r="Z40" s="207"/>
    </row>
    <row r="41" spans="1:26" ht="60">
      <c r="A41" s="206" t="s">
        <v>789</v>
      </c>
      <c r="B41" s="207" t="s">
        <v>789</v>
      </c>
      <c r="C41" s="207" t="s">
        <v>791</v>
      </c>
      <c r="D41" s="207" t="s">
        <v>790</v>
      </c>
      <c r="E41" s="208" t="s">
        <v>1522</v>
      </c>
      <c r="F41" s="209" t="s">
        <v>1814</v>
      </c>
      <c r="G41" s="207" t="s">
        <v>1815</v>
      </c>
      <c r="H41" s="207" t="s">
        <v>1816</v>
      </c>
      <c r="I41" s="207" t="s">
        <v>1817</v>
      </c>
      <c r="J41" s="207" t="s">
        <v>789</v>
      </c>
      <c r="K41" s="207" t="s">
        <v>789</v>
      </c>
      <c r="L41" s="216" t="s">
        <v>2527</v>
      </c>
      <c r="M41" s="217" t="s">
        <v>1303</v>
      </c>
      <c r="N41" s="217" t="s">
        <v>2528</v>
      </c>
      <c r="O41" s="217" t="s">
        <v>2529</v>
      </c>
      <c r="P41" s="217" t="s">
        <v>1352</v>
      </c>
      <c r="Q41" s="217" t="s">
        <v>1372</v>
      </c>
      <c r="R41" s="217" t="s">
        <v>2530</v>
      </c>
      <c r="S41" s="217" t="s">
        <v>1393</v>
      </c>
      <c r="T41" s="217" t="s">
        <v>2531</v>
      </c>
      <c r="U41" s="217" t="s">
        <v>2532</v>
      </c>
      <c r="V41" s="217" t="s">
        <v>2533</v>
      </c>
      <c r="W41" s="217" t="s">
        <v>2534</v>
      </c>
      <c r="X41" s="217" t="s">
        <v>2535</v>
      </c>
      <c r="Y41" s="217" t="s">
        <v>2536</v>
      </c>
      <c r="Z41" s="217"/>
    </row>
    <row r="42" spans="1:26">
      <c r="A42" s="214" t="s">
        <v>1615</v>
      </c>
      <c r="B42" s="207" t="s">
        <v>1615</v>
      </c>
      <c r="C42" s="207" t="s">
        <v>2290</v>
      </c>
      <c r="D42" s="215" t="s">
        <v>2292</v>
      </c>
      <c r="E42" s="215" t="s">
        <v>2294</v>
      </c>
      <c r="F42" s="215" t="s">
        <v>2298</v>
      </c>
      <c r="G42" s="215" t="s">
        <v>2301</v>
      </c>
      <c r="H42" s="215" t="s">
        <v>2304</v>
      </c>
      <c r="I42" s="217" t="s">
        <v>2537</v>
      </c>
      <c r="J42" s="207" t="s">
        <v>1615</v>
      </c>
      <c r="K42" s="207" t="s">
        <v>1615</v>
      </c>
      <c r="L42" s="216" t="s">
        <v>2538</v>
      </c>
      <c r="M42" s="217" t="s">
        <v>2539</v>
      </c>
      <c r="N42" s="217" t="s">
        <v>2290</v>
      </c>
      <c r="O42" s="217" t="s">
        <v>2540</v>
      </c>
      <c r="P42" s="217" t="s">
        <v>2541</v>
      </c>
      <c r="Q42" s="217" t="s">
        <v>2542</v>
      </c>
      <c r="R42" s="217" t="s">
        <v>2543</v>
      </c>
      <c r="S42" s="217" t="s">
        <v>2544</v>
      </c>
      <c r="T42" s="217" t="s">
        <v>2545</v>
      </c>
      <c r="U42" s="217" t="s">
        <v>2546</v>
      </c>
      <c r="V42" s="217" t="s">
        <v>2547</v>
      </c>
      <c r="W42" s="217" t="s">
        <v>2548</v>
      </c>
      <c r="X42" s="217" t="s">
        <v>2549</v>
      </c>
      <c r="Y42" s="217" t="s">
        <v>2550</v>
      </c>
      <c r="Z42" s="217"/>
    </row>
    <row r="43" spans="1:26">
      <c r="A43" s="214" t="s">
        <v>1614</v>
      </c>
      <c r="B43" s="207" t="s">
        <v>1614</v>
      </c>
      <c r="C43" s="207" t="s">
        <v>2291</v>
      </c>
      <c r="D43" s="215" t="s">
        <v>2293</v>
      </c>
      <c r="E43" s="215" t="s">
        <v>2295</v>
      </c>
      <c r="F43" s="215" t="s">
        <v>2299</v>
      </c>
      <c r="G43" s="215" t="s">
        <v>2302</v>
      </c>
      <c r="H43" s="215" t="s">
        <v>2305</v>
      </c>
      <c r="I43" s="217" t="s">
        <v>2551</v>
      </c>
      <c r="J43" s="207" t="s">
        <v>1614</v>
      </c>
      <c r="K43" s="207" t="s">
        <v>1614</v>
      </c>
      <c r="L43" s="216" t="s">
        <v>2552</v>
      </c>
      <c r="M43" s="217" t="s">
        <v>2553</v>
      </c>
      <c r="N43" s="217" t="s">
        <v>2554</v>
      </c>
      <c r="O43" s="217" t="s">
        <v>2555</v>
      </c>
      <c r="P43" s="217" t="s">
        <v>2556</v>
      </c>
      <c r="Q43" s="217" t="s">
        <v>2557</v>
      </c>
      <c r="R43" s="217" t="s">
        <v>2558</v>
      </c>
      <c r="S43" s="217" t="s">
        <v>2559</v>
      </c>
      <c r="T43" s="217" t="s">
        <v>2560</v>
      </c>
      <c r="U43" s="217" t="s">
        <v>2561</v>
      </c>
      <c r="V43" s="217" t="s">
        <v>2562</v>
      </c>
      <c r="W43" s="217" t="s">
        <v>2563</v>
      </c>
      <c r="X43" s="217" t="s">
        <v>2564</v>
      </c>
      <c r="Y43" s="217" t="s">
        <v>2565</v>
      </c>
      <c r="Z43" s="217"/>
    </row>
    <row r="44" spans="1:26" ht="17.25">
      <c r="A44" s="206"/>
      <c r="B44" s="207"/>
      <c r="C44" s="207"/>
      <c r="D44" s="207"/>
      <c r="E44" s="208"/>
      <c r="F44" s="209"/>
      <c r="G44" s="207"/>
      <c r="H44" s="207"/>
      <c r="I44" s="207"/>
      <c r="J44" s="207"/>
      <c r="K44" s="207"/>
      <c r="L44" s="210"/>
      <c r="M44" s="207"/>
      <c r="N44" s="207"/>
      <c r="O44" s="207"/>
      <c r="P44" s="207"/>
      <c r="Q44" s="207"/>
      <c r="R44" s="207"/>
      <c r="S44" s="207"/>
      <c r="T44" s="207"/>
      <c r="U44" s="207"/>
      <c r="V44" s="207"/>
      <c r="W44" s="207"/>
      <c r="X44" s="207"/>
      <c r="Y44" s="207"/>
      <c r="Z44" s="207"/>
    </row>
    <row r="45" spans="1:26" ht="17.25">
      <c r="A45" s="206"/>
      <c r="B45" s="207"/>
      <c r="C45" s="207"/>
      <c r="D45" s="207"/>
      <c r="E45" s="208"/>
      <c r="F45" s="209"/>
      <c r="G45" s="207"/>
      <c r="H45" s="207"/>
      <c r="I45" s="207"/>
      <c r="J45" s="207"/>
      <c r="K45" s="207"/>
      <c r="L45" s="210"/>
      <c r="M45" s="207"/>
      <c r="N45" s="207"/>
      <c r="O45" s="207"/>
      <c r="P45" s="207"/>
      <c r="Q45" s="207"/>
      <c r="R45" s="207"/>
      <c r="S45" s="207"/>
      <c r="T45" s="207"/>
      <c r="U45" s="207"/>
      <c r="V45" s="207"/>
      <c r="W45" s="207"/>
      <c r="X45" s="207"/>
      <c r="Y45" s="207"/>
      <c r="Z45" s="207"/>
    </row>
    <row r="46" spans="1:26" ht="17.25">
      <c r="A46" s="206"/>
      <c r="B46" s="207"/>
      <c r="C46" s="207"/>
      <c r="D46" s="207"/>
      <c r="E46" s="208"/>
      <c r="F46" s="209"/>
      <c r="G46" s="207"/>
      <c r="H46" s="207"/>
      <c r="I46" s="207"/>
      <c r="J46" s="207"/>
      <c r="K46" s="207"/>
      <c r="L46" s="210"/>
      <c r="M46" s="207"/>
      <c r="N46" s="207"/>
      <c r="O46" s="207"/>
      <c r="P46" s="207"/>
      <c r="Q46" s="207"/>
      <c r="R46" s="207"/>
      <c r="S46" s="207"/>
      <c r="T46" s="207"/>
      <c r="U46" s="207"/>
      <c r="V46" s="207"/>
      <c r="W46" s="207"/>
      <c r="X46" s="207"/>
      <c r="Y46" s="207"/>
      <c r="Z46" s="207"/>
    </row>
    <row r="47" spans="1:26" ht="17.25">
      <c r="A47" s="206"/>
      <c r="B47" s="207"/>
      <c r="C47" s="207"/>
      <c r="D47" s="207"/>
      <c r="E47" s="208"/>
      <c r="F47" s="209"/>
      <c r="G47" s="207"/>
      <c r="H47" s="207"/>
      <c r="I47" s="207"/>
      <c r="J47" s="207"/>
      <c r="K47" s="207"/>
      <c r="L47" s="210"/>
      <c r="M47" s="207"/>
      <c r="N47" s="207"/>
      <c r="O47" s="207"/>
      <c r="P47" s="207"/>
      <c r="Q47" s="207"/>
      <c r="R47" s="207"/>
      <c r="S47" s="207"/>
      <c r="T47" s="207"/>
      <c r="U47" s="207"/>
      <c r="V47" s="207"/>
      <c r="W47" s="207"/>
      <c r="X47" s="207"/>
      <c r="Y47" s="207"/>
      <c r="Z47" s="207"/>
    </row>
    <row r="48" spans="1:26" ht="17.25">
      <c r="A48" s="206"/>
      <c r="B48" s="207"/>
      <c r="C48" s="207"/>
      <c r="D48" s="207"/>
      <c r="E48" s="208"/>
      <c r="F48" s="209"/>
      <c r="G48" s="207"/>
      <c r="H48" s="207"/>
      <c r="I48" s="207"/>
      <c r="J48" s="207"/>
      <c r="K48" s="207"/>
      <c r="L48" s="210"/>
      <c r="M48" s="207"/>
      <c r="N48" s="207"/>
      <c r="O48" s="207"/>
      <c r="P48" s="207"/>
      <c r="Q48" s="207"/>
      <c r="R48" s="207"/>
      <c r="S48" s="207"/>
      <c r="T48" s="207"/>
      <c r="U48" s="207"/>
      <c r="V48" s="207"/>
      <c r="W48" s="207"/>
      <c r="X48" s="207"/>
      <c r="Y48" s="207"/>
      <c r="Z48" s="207"/>
    </row>
    <row r="49" spans="1:26" ht="17.25">
      <c r="A49" s="206"/>
      <c r="B49" s="207"/>
      <c r="C49" s="207"/>
      <c r="D49" s="207"/>
      <c r="E49" s="208"/>
      <c r="F49" s="209"/>
      <c r="G49" s="207"/>
      <c r="H49" s="207"/>
      <c r="I49" s="207"/>
      <c r="J49" s="207"/>
      <c r="K49" s="207"/>
      <c r="L49" s="210"/>
      <c r="M49" s="207"/>
      <c r="N49" s="207"/>
      <c r="O49" s="207"/>
      <c r="P49" s="207"/>
      <c r="Q49" s="207"/>
      <c r="R49" s="207"/>
      <c r="S49" s="207"/>
      <c r="T49" s="207"/>
      <c r="U49" s="207"/>
      <c r="V49" s="207"/>
      <c r="W49" s="207"/>
      <c r="X49" s="207"/>
      <c r="Y49" s="207"/>
      <c r="Z49" s="207"/>
    </row>
    <row r="50" spans="1:26">
      <c r="A50" s="206">
        <v>35</v>
      </c>
      <c r="B50" s="206">
        <v>35</v>
      </c>
      <c r="C50" s="206">
        <v>35</v>
      </c>
      <c r="D50" s="206">
        <v>35</v>
      </c>
      <c r="E50" s="206">
        <v>35</v>
      </c>
      <c r="F50" s="206">
        <v>35</v>
      </c>
      <c r="G50" s="206">
        <v>35</v>
      </c>
      <c r="H50" s="206">
        <v>35</v>
      </c>
      <c r="I50" s="206">
        <v>35</v>
      </c>
      <c r="J50" s="206">
        <v>35</v>
      </c>
      <c r="K50" s="206">
        <v>35</v>
      </c>
      <c r="L50" s="206">
        <v>35</v>
      </c>
      <c r="M50" s="206">
        <v>35</v>
      </c>
      <c r="N50" s="206">
        <v>35</v>
      </c>
      <c r="O50" s="206">
        <v>35</v>
      </c>
      <c r="P50" s="206">
        <v>35</v>
      </c>
      <c r="Q50" s="206">
        <v>35</v>
      </c>
      <c r="R50" s="206">
        <v>35</v>
      </c>
      <c r="S50" s="206">
        <v>35</v>
      </c>
      <c r="T50" s="206">
        <v>35</v>
      </c>
      <c r="U50" s="206">
        <v>35</v>
      </c>
      <c r="V50" s="206">
        <v>35</v>
      </c>
      <c r="W50" s="206">
        <v>35</v>
      </c>
      <c r="X50" s="206">
        <v>35</v>
      </c>
      <c r="Y50" s="206">
        <v>35</v>
      </c>
      <c r="Z50" s="207"/>
    </row>
    <row r="51" spans="1:26">
      <c r="A51" s="206" t="s">
        <v>1419</v>
      </c>
      <c r="B51" s="206" t="s">
        <v>1419</v>
      </c>
      <c r="C51" s="206" t="s">
        <v>1419</v>
      </c>
      <c r="D51" s="206" t="s">
        <v>1419</v>
      </c>
      <c r="E51" s="206" t="s">
        <v>1419</v>
      </c>
      <c r="F51" s="206" t="s">
        <v>1419</v>
      </c>
      <c r="G51" s="206" t="s">
        <v>1419</v>
      </c>
      <c r="H51" s="206" t="s">
        <v>1419</v>
      </c>
      <c r="I51" s="206" t="s">
        <v>1419</v>
      </c>
      <c r="J51" s="206" t="s">
        <v>1419</v>
      </c>
      <c r="K51" s="206" t="s">
        <v>1419</v>
      </c>
      <c r="L51" s="206" t="s">
        <v>1419</v>
      </c>
      <c r="M51" s="206" t="s">
        <v>1419</v>
      </c>
      <c r="N51" s="206" t="s">
        <v>1419</v>
      </c>
      <c r="O51" s="206" t="s">
        <v>1419</v>
      </c>
      <c r="P51" s="206" t="s">
        <v>1419</v>
      </c>
      <c r="Q51" s="206" t="s">
        <v>1419</v>
      </c>
      <c r="R51" s="206" t="s">
        <v>1419</v>
      </c>
      <c r="S51" s="206" t="s">
        <v>1419</v>
      </c>
      <c r="T51" s="206" t="s">
        <v>1419</v>
      </c>
      <c r="U51" s="206" t="s">
        <v>1419</v>
      </c>
      <c r="V51" s="206" t="s">
        <v>1419</v>
      </c>
      <c r="W51" s="206" t="s">
        <v>1419</v>
      </c>
      <c r="X51" s="206" t="s">
        <v>1419</v>
      </c>
      <c r="Y51" s="206" t="s">
        <v>1419</v>
      </c>
      <c r="Z51" s="207"/>
    </row>
    <row r="52" spans="1:26" ht="17.25">
      <c r="A52" s="218" t="s">
        <v>1420</v>
      </c>
      <c r="B52" s="218" t="s">
        <v>1420</v>
      </c>
      <c r="C52" s="218" t="s">
        <v>1420</v>
      </c>
      <c r="D52" s="218" t="s">
        <v>1420</v>
      </c>
      <c r="E52" s="218" t="s">
        <v>1420</v>
      </c>
      <c r="F52" s="218" t="s">
        <v>1420</v>
      </c>
      <c r="G52" s="218" t="s">
        <v>1420</v>
      </c>
      <c r="H52" s="218" t="s">
        <v>1420</v>
      </c>
      <c r="I52" s="218" t="s">
        <v>1420</v>
      </c>
      <c r="J52" s="218" t="s">
        <v>1420</v>
      </c>
      <c r="K52" s="218" t="s">
        <v>1420</v>
      </c>
      <c r="L52" s="218" t="s">
        <v>1420</v>
      </c>
      <c r="M52" s="218" t="s">
        <v>1420</v>
      </c>
      <c r="N52" s="218" t="s">
        <v>1420</v>
      </c>
      <c r="O52" s="218" t="s">
        <v>1420</v>
      </c>
      <c r="P52" s="218" t="s">
        <v>1420</v>
      </c>
      <c r="Q52" s="218" t="s">
        <v>1420</v>
      </c>
      <c r="R52" s="218" t="s">
        <v>1420</v>
      </c>
      <c r="S52" s="218" t="s">
        <v>1420</v>
      </c>
      <c r="T52" s="218" t="s">
        <v>1420</v>
      </c>
      <c r="U52" s="218" t="s">
        <v>1420</v>
      </c>
      <c r="V52" s="218" t="s">
        <v>1420</v>
      </c>
      <c r="W52" s="218" t="s">
        <v>1420</v>
      </c>
      <c r="X52" s="218" t="s">
        <v>1420</v>
      </c>
      <c r="Y52" s="218" t="s">
        <v>1420</v>
      </c>
      <c r="Z52" s="219"/>
    </row>
    <row r="53" spans="1:26" ht="30">
      <c r="A53" s="196" t="s">
        <v>301</v>
      </c>
      <c r="B53" s="197" t="s">
        <v>301</v>
      </c>
      <c r="C53" s="197" t="s">
        <v>1433</v>
      </c>
      <c r="D53" s="197" t="s">
        <v>1818</v>
      </c>
      <c r="E53" s="198" t="s">
        <v>753</v>
      </c>
      <c r="F53" s="199" t="s">
        <v>1819</v>
      </c>
      <c r="G53" s="197" t="s">
        <v>1820</v>
      </c>
      <c r="H53" s="197" t="s">
        <v>1821</v>
      </c>
      <c r="I53" s="197" t="s">
        <v>1822</v>
      </c>
      <c r="J53" s="197" t="s">
        <v>301</v>
      </c>
      <c r="K53" s="197" t="s">
        <v>301</v>
      </c>
      <c r="L53" s="200" t="s">
        <v>502</v>
      </c>
      <c r="M53" s="197" t="s">
        <v>336</v>
      </c>
      <c r="N53" s="197" t="s">
        <v>372</v>
      </c>
      <c r="O53" s="197" t="s">
        <v>717</v>
      </c>
      <c r="P53" s="197" t="s">
        <v>682</v>
      </c>
      <c r="Q53" s="197" t="s">
        <v>638</v>
      </c>
      <c r="R53" s="197" t="s">
        <v>594</v>
      </c>
      <c r="S53" s="197" t="s">
        <v>544</v>
      </c>
      <c r="T53" s="197" t="s">
        <v>456</v>
      </c>
      <c r="U53" s="197" t="s">
        <v>2566</v>
      </c>
      <c r="V53" s="197" t="s">
        <v>2567</v>
      </c>
      <c r="W53" s="197" t="s">
        <v>2568</v>
      </c>
      <c r="X53" s="197" t="s">
        <v>2569</v>
      </c>
      <c r="Y53" s="197" t="s">
        <v>2570</v>
      </c>
      <c r="Z53" s="197"/>
    </row>
    <row r="54" spans="1:26" ht="17.25">
      <c r="A54" s="201"/>
      <c r="B54" s="202"/>
      <c r="C54" s="202"/>
      <c r="D54" s="202"/>
      <c r="E54" s="203"/>
      <c r="F54" s="204"/>
      <c r="G54" s="202"/>
      <c r="H54" s="202"/>
      <c r="I54" s="202"/>
      <c r="J54" s="202"/>
      <c r="K54" s="202"/>
      <c r="L54" s="205"/>
      <c r="M54" s="202"/>
      <c r="N54" s="202"/>
      <c r="O54" s="202"/>
      <c r="P54" s="202"/>
      <c r="Q54" s="202"/>
      <c r="R54" s="202"/>
      <c r="S54" s="202"/>
      <c r="T54" s="202"/>
      <c r="U54" s="202"/>
      <c r="V54" s="202"/>
      <c r="W54" s="202"/>
      <c r="X54" s="202"/>
      <c r="Y54" s="202"/>
      <c r="Z54" s="202"/>
    </row>
    <row r="55" spans="1:26" ht="255">
      <c r="A55" s="206" t="s">
        <v>302</v>
      </c>
      <c r="B55" s="207" t="s">
        <v>302</v>
      </c>
      <c r="C55" s="207" t="s">
        <v>1434</v>
      </c>
      <c r="D55" s="207" t="s">
        <v>1823</v>
      </c>
      <c r="E55" s="208" t="s">
        <v>1523</v>
      </c>
      <c r="F55" s="209" t="s">
        <v>1824</v>
      </c>
      <c r="G55" s="207" t="s">
        <v>1825</v>
      </c>
      <c r="H55" s="207" t="s">
        <v>1826</v>
      </c>
      <c r="I55" s="207" t="s">
        <v>1827</v>
      </c>
      <c r="J55" s="207" t="s">
        <v>302</v>
      </c>
      <c r="K55" s="207" t="s">
        <v>302</v>
      </c>
      <c r="L55" s="210" t="s">
        <v>1401</v>
      </c>
      <c r="M55" s="207" t="s">
        <v>337</v>
      </c>
      <c r="N55" s="207" t="s">
        <v>373</v>
      </c>
      <c r="O55" s="207" t="s">
        <v>1332</v>
      </c>
      <c r="P55" s="207" t="s">
        <v>683</v>
      </c>
      <c r="Q55" s="207" t="s">
        <v>639</v>
      </c>
      <c r="R55" s="207" t="s">
        <v>595</v>
      </c>
      <c r="S55" s="207" t="s">
        <v>545</v>
      </c>
      <c r="T55" s="207" t="s">
        <v>457</v>
      </c>
      <c r="U55" s="207" t="s">
        <v>2571</v>
      </c>
      <c r="V55" s="207" t="s">
        <v>2572</v>
      </c>
      <c r="W55" s="207" t="s">
        <v>2573</v>
      </c>
      <c r="X55" s="207" t="s">
        <v>2574</v>
      </c>
      <c r="Y55" s="207" t="s">
        <v>2575</v>
      </c>
      <c r="Z55" s="207"/>
    </row>
    <row r="56" spans="1:26" ht="17.25">
      <c r="A56" s="206"/>
      <c r="B56" s="207"/>
      <c r="C56" s="207"/>
      <c r="D56" s="207"/>
      <c r="E56" s="208"/>
      <c r="F56" s="209"/>
      <c r="G56" s="207"/>
      <c r="H56" s="207"/>
      <c r="I56" s="207"/>
      <c r="J56" s="207"/>
      <c r="K56" s="207"/>
      <c r="L56" s="210"/>
      <c r="M56" s="207"/>
      <c r="N56" s="207"/>
      <c r="O56" s="207"/>
      <c r="P56" s="207"/>
      <c r="Q56" s="207"/>
      <c r="R56" s="207"/>
      <c r="S56" s="207"/>
      <c r="T56" s="207"/>
      <c r="U56" s="207"/>
      <c r="V56" s="207"/>
      <c r="W56" s="207"/>
      <c r="X56" s="207"/>
      <c r="Y56" s="207"/>
      <c r="Z56" s="207"/>
    </row>
    <row r="57" spans="1:26" ht="17.25">
      <c r="A57" s="206"/>
      <c r="B57" s="207"/>
      <c r="C57" s="207"/>
      <c r="D57" s="207"/>
      <c r="E57" s="208"/>
      <c r="F57" s="209"/>
      <c r="G57" s="207"/>
      <c r="H57" s="207"/>
      <c r="I57" s="207"/>
      <c r="J57" s="207"/>
      <c r="K57" s="207"/>
      <c r="L57" s="210"/>
      <c r="M57" s="207"/>
      <c r="N57" s="207"/>
      <c r="O57" s="207"/>
      <c r="P57" s="207"/>
      <c r="Q57" s="207"/>
      <c r="R57" s="207"/>
      <c r="S57" s="207"/>
      <c r="T57" s="207"/>
      <c r="U57" s="207"/>
      <c r="V57" s="207"/>
      <c r="W57" s="207"/>
      <c r="X57" s="207"/>
      <c r="Y57" s="207"/>
      <c r="Z57" s="207"/>
    </row>
    <row r="58" spans="1:26" ht="30">
      <c r="A58" s="206" t="s">
        <v>321</v>
      </c>
      <c r="B58" s="207" t="s">
        <v>321</v>
      </c>
      <c r="C58" s="207" t="s">
        <v>1435</v>
      </c>
      <c r="D58" s="207" t="s">
        <v>1828</v>
      </c>
      <c r="E58" s="208" t="s">
        <v>754</v>
      </c>
      <c r="F58" s="209" t="s">
        <v>1829</v>
      </c>
      <c r="G58" s="207" t="s">
        <v>1830</v>
      </c>
      <c r="H58" s="207" t="s">
        <v>1831</v>
      </c>
      <c r="I58" s="207" t="s">
        <v>1832</v>
      </c>
      <c r="J58" s="207" t="s">
        <v>321</v>
      </c>
      <c r="K58" s="207" t="s">
        <v>321</v>
      </c>
      <c r="L58" s="210" t="s">
        <v>503</v>
      </c>
      <c r="M58" s="207" t="s">
        <v>338</v>
      </c>
      <c r="N58" s="207" t="s">
        <v>374</v>
      </c>
      <c r="O58" s="207" t="s">
        <v>718</v>
      </c>
      <c r="P58" s="207" t="s">
        <v>684</v>
      </c>
      <c r="Q58" s="207" t="s">
        <v>640</v>
      </c>
      <c r="R58" s="207" t="s">
        <v>596</v>
      </c>
      <c r="S58" s="207" t="s">
        <v>546</v>
      </c>
      <c r="T58" s="207" t="s">
        <v>458</v>
      </c>
      <c r="U58" s="207" t="s">
        <v>2576</v>
      </c>
      <c r="V58" s="207" t="s">
        <v>2577</v>
      </c>
      <c r="W58" s="207" t="s">
        <v>2578</v>
      </c>
      <c r="X58" s="207" t="s">
        <v>2579</v>
      </c>
      <c r="Y58" s="207" t="s">
        <v>2580</v>
      </c>
      <c r="Z58" s="207"/>
    </row>
    <row r="59" spans="1:26" ht="17.25">
      <c r="A59" s="206" t="s">
        <v>410</v>
      </c>
      <c r="B59" s="207" t="s">
        <v>410</v>
      </c>
      <c r="C59" s="207" t="s">
        <v>418</v>
      </c>
      <c r="D59" s="207" t="s">
        <v>410</v>
      </c>
      <c r="E59" s="208" t="s">
        <v>1524</v>
      </c>
      <c r="F59" s="209" t="s">
        <v>1833</v>
      </c>
      <c r="G59" s="207" t="s">
        <v>1834</v>
      </c>
      <c r="H59" s="207" t="s">
        <v>1835</v>
      </c>
      <c r="I59" s="207" t="s">
        <v>1836</v>
      </c>
      <c r="J59" s="207" t="s">
        <v>410</v>
      </c>
      <c r="K59" s="207" t="s">
        <v>410</v>
      </c>
      <c r="L59" s="210" t="s">
        <v>504</v>
      </c>
      <c r="M59" s="207" t="s">
        <v>419</v>
      </c>
      <c r="N59" s="207" t="s">
        <v>414</v>
      </c>
      <c r="O59" s="207" t="s">
        <v>719</v>
      </c>
      <c r="P59" s="207" t="s">
        <v>685</v>
      </c>
      <c r="Q59" s="207" t="s">
        <v>641</v>
      </c>
      <c r="R59" s="207" t="s">
        <v>597</v>
      </c>
      <c r="S59" s="207" t="s">
        <v>547</v>
      </c>
      <c r="T59" s="207" t="s">
        <v>459</v>
      </c>
      <c r="U59" s="207" t="s">
        <v>2581</v>
      </c>
      <c r="V59" s="207" t="s">
        <v>2582</v>
      </c>
      <c r="W59" s="207" t="s">
        <v>2583</v>
      </c>
      <c r="X59" s="207" t="s">
        <v>2584</v>
      </c>
      <c r="Y59" s="207" t="s">
        <v>2585</v>
      </c>
      <c r="Z59" s="207"/>
    </row>
    <row r="60" spans="1:26" ht="17.25">
      <c r="A60" s="206" t="s">
        <v>784</v>
      </c>
      <c r="B60" s="207" t="s">
        <v>784</v>
      </c>
      <c r="C60" s="207" t="s">
        <v>788</v>
      </c>
      <c r="D60" s="207" t="s">
        <v>1837</v>
      </c>
      <c r="E60" s="220" t="s">
        <v>1525</v>
      </c>
      <c r="F60" s="209" t="s">
        <v>1838</v>
      </c>
      <c r="G60" s="207" t="s">
        <v>1839</v>
      </c>
      <c r="H60" s="207" t="s">
        <v>1840</v>
      </c>
      <c r="I60" s="207" t="s">
        <v>1841</v>
      </c>
      <c r="J60" s="207" t="s">
        <v>784</v>
      </c>
      <c r="K60" s="207" t="s">
        <v>784</v>
      </c>
      <c r="L60" s="210" t="s">
        <v>1402</v>
      </c>
      <c r="M60" s="207" t="s">
        <v>1304</v>
      </c>
      <c r="N60" s="207" t="s">
        <v>1318</v>
      </c>
      <c r="O60" s="207" t="s">
        <v>1333</v>
      </c>
      <c r="P60" s="207" t="s">
        <v>1353</v>
      </c>
      <c r="Q60" s="207" t="s">
        <v>1373</v>
      </c>
      <c r="R60" s="207" t="s">
        <v>1382</v>
      </c>
      <c r="S60" s="207" t="s">
        <v>1394</v>
      </c>
      <c r="T60" s="207" t="s">
        <v>1413</v>
      </c>
      <c r="U60" s="207" t="s">
        <v>2586</v>
      </c>
      <c r="V60" s="207" t="s">
        <v>2587</v>
      </c>
      <c r="W60" s="207" t="s">
        <v>2588</v>
      </c>
      <c r="X60" s="207" t="s">
        <v>2589</v>
      </c>
      <c r="Y60" s="207" t="s">
        <v>2590</v>
      </c>
      <c r="Z60" s="207"/>
    </row>
    <row r="61" spans="1:26" ht="90">
      <c r="A61" s="206" t="s">
        <v>771</v>
      </c>
      <c r="B61" s="207" t="s">
        <v>773</v>
      </c>
      <c r="C61" s="207" t="s">
        <v>1436</v>
      </c>
      <c r="D61" s="207" t="s">
        <v>1842</v>
      </c>
      <c r="E61" s="220" t="s">
        <v>1526</v>
      </c>
      <c r="F61" s="209" t="s">
        <v>1843</v>
      </c>
      <c r="G61" s="207" t="s">
        <v>1844</v>
      </c>
      <c r="H61" s="207" t="s">
        <v>1845</v>
      </c>
      <c r="I61" s="207" t="s">
        <v>1846</v>
      </c>
      <c r="J61" s="207" t="s">
        <v>773</v>
      </c>
      <c r="K61" s="207" t="s">
        <v>773</v>
      </c>
      <c r="L61" s="210" t="s">
        <v>1403</v>
      </c>
      <c r="M61" s="207" t="s">
        <v>1305</v>
      </c>
      <c r="N61" s="207" t="s">
        <v>1319</v>
      </c>
      <c r="O61" s="207" t="s">
        <v>1334</v>
      </c>
      <c r="P61" s="207" t="s">
        <v>1354</v>
      </c>
      <c r="Q61" s="207" t="s">
        <v>1374</v>
      </c>
      <c r="R61" s="207" t="s">
        <v>1383</v>
      </c>
      <c r="S61" s="207" t="s">
        <v>1395</v>
      </c>
      <c r="T61" s="207" t="s">
        <v>1414</v>
      </c>
      <c r="U61" s="207" t="s">
        <v>2591</v>
      </c>
      <c r="V61" s="207" t="s">
        <v>2592</v>
      </c>
      <c r="W61" s="207" t="s">
        <v>2593</v>
      </c>
      <c r="X61" s="207" t="s">
        <v>2594</v>
      </c>
      <c r="Y61" s="207" t="s">
        <v>2595</v>
      </c>
      <c r="Z61" s="207"/>
    </row>
    <row r="62" spans="1:26" ht="17.25">
      <c r="A62" s="206" t="s">
        <v>303</v>
      </c>
      <c r="B62" s="207" t="s">
        <v>303</v>
      </c>
      <c r="C62" s="207" t="s">
        <v>1437</v>
      </c>
      <c r="D62" s="207" t="s">
        <v>1847</v>
      </c>
      <c r="E62" s="208" t="s">
        <v>755</v>
      </c>
      <c r="F62" s="209" t="s">
        <v>1848</v>
      </c>
      <c r="G62" s="207" t="s">
        <v>1849</v>
      </c>
      <c r="H62" s="207" t="s">
        <v>1850</v>
      </c>
      <c r="I62" s="207" t="s">
        <v>1851</v>
      </c>
      <c r="J62" s="207" t="s">
        <v>303</v>
      </c>
      <c r="K62" s="207" t="s">
        <v>303</v>
      </c>
      <c r="L62" s="210" t="s">
        <v>505</v>
      </c>
      <c r="M62" s="207" t="s">
        <v>339</v>
      </c>
      <c r="N62" s="207" t="s">
        <v>375</v>
      </c>
      <c r="O62" s="207" t="s">
        <v>720</v>
      </c>
      <c r="P62" s="207" t="s">
        <v>686</v>
      </c>
      <c r="Q62" s="207" t="s">
        <v>642</v>
      </c>
      <c r="R62" s="207" t="s">
        <v>598</v>
      </c>
      <c r="S62" s="207" t="s">
        <v>548</v>
      </c>
      <c r="T62" s="207" t="s">
        <v>460</v>
      </c>
      <c r="U62" s="207" t="s">
        <v>2596</v>
      </c>
      <c r="V62" s="207" t="s">
        <v>2597</v>
      </c>
      <c r="W62" s="207" t="s">
        <v>2598</v>
      </c>
      <c r="X62" s="207" t="s">
        <v>2599</v>
      </c>
      <c r="Y62" s="207" t="s">
        <v>2600</v>
      </c>
      <c r="Z62" s="207"/>
    </row>
    <row r="63" spans="1:26" ht="30">
      <c r="A63" s="206" t="s">
        <v>304</v>
      </c>
      <c r="B63" s="207" t="s">
        <v>304</v>
      </c>
      <c r="C63" s="207" t="s">
        <v>1438</v>
      </c>
      <c r="D63" s="207" t="s">
        <v>589</v>
      </c>
      <c r="E63" s="208" t="s">
        <v>756</v>
      </c>
      <c r="F63" s="209" t="s">
        <v>1852</v>
      </c>
      <c r="G63" s="207" t="s">
        <v>1853</v>
      </c>
      <c r="H63" s="207" t="s">
        <v>1854</v>
      </c>
      <c r="I63" s="207" t="s">
        <v>1855</v>
      </c>
      <c r="J63" s="207" t="s">
        <v>304</v>
      </c>
      <c r="K63" s="207" t="s">
        <v>304</v>
      </c>
      <c r="L63" s="210" t="s">
        <v>506</v>
      </c>
      <c r="M63" s="207" t="s">
        <v>340</v>
      </c>
      <c r="N63" s="207" t="s">
        <v>376</v>
      </c>
      <c r="O63" s="207" t="s">
        <v>721</v>
      </c>
      <c r="P63" s="207" t="s">
        <v>687</v>
      </c>
      <c r="Q63" s="207" t="s">
        <v>643</v>
      </c>
      <c r="R63" s="207" t="s">
        <v>599</v>
      </c>
      <c r="S63" s="207" t="s">
        <v>549</v>
      </c>
      <c r="T63" s="207" t="s">
        <v>461</v>
      </c>
      <c r="U63" s="207" t="s">
        <v>2601</v>
      </c>
      <c r="V63" s="207" t="s">
        <v>2602</v>
      </c>
      <c r="W63" s="207" t="s">
        <v>2603</v>
      </c>
      <c r="X63" s="207" t="s">
        <v>2604</v>
      </c>
      <c r="Y63" s="207" t="s">
        <v>2605</v>
      </c>
      <c r="Z63" s="207"/>
    </row>
    <row r="64" spans="1:26" ht="45">
      <c r="A64" s="206" t="s">
        <v>305</v>
      </c>
      <c r="B64" s="207" t="s">
        <v>305</v>
      </c>
      <c r="C64" s="207" t="s">
        <v>1439</v>
      </c>
      <c r="D64" s="207" t="s">
        <v>1856</v>
      </c>
      <c r="E64" s="208" t="s">
        <v>1527</v>
      </c>
      <c r="F64" s="209" t="s">
        <v>1857</v>
      </c>
      <c r="G64" s="207" t="s">
        <v>1858</v>
      </c>
      <c r="H64" s="207" t="s">
        <v>1859</v>
      </c>
      <c r="I64" s="207" t="s">
        <v>1860</v>
      </c>
      <c r="J64" s="207" t="s">
        <v>305</v>
      </c>
      <c r="K64" s="207" t="s">
        <v>305</v>
      </c>
      <c r="L64" s="210" t="s">
        <v>507</v>
      </c>
      <c r="M64" s="207" t="s">
        <v>341</v>
      </c>
      <c r="N64" s="207" t="s">
        <v>377</v>
      </c>
      <c r="O64" s="207" t="s">
        <v>1335</v>
      </c>
      <c r="P64" s="207" t="s">
        <v>688</v>
      </c>
      <c r="Q64" s="207" t="s">
        <v>644</v>
      </c>
      <c r="R64" s="207" t="s">
        <v>600</v>
      </c>
      <c r="S64" s="207" t="s">
        <v>550</v>
      </c>
      <c r="T64" s="207" t="s">
        <v>462</v>
      </c>
      <c r="U64" s="207" t="s">
        <v>2606</v>
      </c>
      <c r="V64" s="207" t="s">
        <v>2607</v>
      </c>
      <c r="W64" s="207" t="s">
        <v>2608</v>
      </c>
      <c r="X64" s="207" t="s">
        <v>2609</v>
      </c>
      <c r="Y64" s="207" t="s">
        <v>2610</v>
      </c>
      <c r="Z64" s="207"/>
    </row>
    <row r="65" spans="1:26" ht="34.5">
      <c r="A65" s="206" t="s">
        <v>306</v>
      </c>
      <c r="B65" s="207" t="s">
        <v>306</v>
      </c>
      <c r="C65" s="207" t="s">
        <v>1440</v>
      </c>
      <c r="D65" s="207" t="s">
        <v>590</v>
      </c>
      <c r="E65" s="208" t="s">
        <v>1528</v>
      </c>
      <c r="F65" s="209" t="s">
        <v>1861</v>
      </c>
      <c r="G65" s="207" t="s">
        <v>1862</v>
      </c>
      <c r="H65" s="207" t="s">
        <v>1863</v>
      </c>
      <c r="I65" s="207" t="s">
        <v>1864</v>
      </c>
      <c r="J65" s="207" t="s">
        <v>306</v>
      </c>
      <c r="K65" s="207" t="s">
        <v>306</v>
      </c>
      <c r="L65" s="210" t="s">
        <v>508</v>
      </c>
      <c r="M65" s="207" t="s">
        <v>342</v>
      </c>
      <c r="N65" s="207" t="s">
        <v>378</v>
      </c>
      <c r="O65" s="207" t="s">
        <v>722</v>
      </c>
      <c r="P65" s="207" t="s">
        <v>689</v>
      </c>
      <c r="Q65" s="207" t="s">
        <v>645</v>
      </c>
      <c r="R65" s="207" t="s">
        <v>601</v>
      </c>
      <c r="S65" s="207" t="s">
        <v>551</v>
      </c>
      <c r="T65" s="207" t="s">
        <v>463</v>
      </c>
      <c r="U65" s="207" t="s">
        <v>2611</v>
      </c>
      <c r="V65" s="207" t="s">
        <v>2612</v>
      </c>
      <c r="W65" s="207" t="s">
        <v>2613</v>
      </c>
      <c r="X65" s="207" t="s">
        <v>2614</v>
      </c>
      <c r="Y65" s="207" t="s">
        <v>2615</v>
      </c>
      <c r="Z65" s="207"/>
    </row>
    <row r="66" spans="1:26" ht="45">
      <c r="A66" s="206" t="s">
        <v>307</v>
      </c>
      <c r="B66" s="207" t="s">
        <v>307</v>
      </c>
      <c r="C66" s="207" t="s">
        <v>1441</v>
      </c>
      <c r="D66" s="207" t="s">
        <v>1865</v>
      </c>
      <c r="E66" s="208" t="s">
        <v>1529</v>
      </c>
      <c r="F66" s="209" t="s">
        <v>1866</v>
      </c>
      <c r="G66" s="207" t="s">
        <v>1867</v>
      </c>
      <c r="H66" s="207" t="s">
        <v>1868</v>
      </c>
      <c r="I66" s="207" t="s">
        <v>1869</v>
      </c>
      <c r="J66" s="207" t="s">
        <v>307</v>
      </c>
      <c r="K66" s="207" t="s">
        <v>307</v>
      </c>
      <c r="L66" s="210" t="s">
        <v>509</v>
      </c>
      <c r="M66" s="207" t="s">
        <v>343</v>
      </c>
      <c r="N66" s="207" t="s">
        <v>379</v>
      </c>
      <c r="O66" s="207" t="s">
        <v>1336</v>
      </c>
      <c r="P66" s="207" t="s">
        <v>1355</v>
      </c>
      <c r="Q66" s="207" t="s">
        <v>646</v>
      </c>
      <c r="R66" s="207" t="s">
        <v>602</v>
      </c>
      <c r="S66" s="207" t="s">
        <v>552</v>
      </c>
      <c r="T66" s="207" t="s">
        <v>464</v>
      </c>
      <c r="U66" s="207" t="s">
        <v>2616</v>
      </c>
      <c r="V66" s="207" t="s">
        <v>2617</v>
      </c>
      <c r="W66" s="207" t="s">
        <v>2618</v>
      </c>
      <c r="X66" s="207" t="s">
        <v>2619</v>
      </c>
      <c r="Y66" s="207" t="s">
        <v>2620</v>
      </c>
      <c r="Z66" s="207"/>
    </row>
    <row r="67" spans="1:26" ht="17.25">
      <c r="A67" s="206"/>
      <c r="B67" s="207"/>
      <c r="C67" s="207"/>
      <c r="D67" s="207"/>
      <c r="E67" s="208"/>
      <c r="F67" s="209"/>
      <c r="G67" s="207"/>
      <c r="H67" s="207"/>
      <c r="I67" s="207"/>
      <c r="J67" s="207"/>
      <c r="K67" s="207"/>
      <c r="L67" s="210"/>
      <c r="M67" s="207"/>
      <c r="N67" s="207"/>
      <c r="O67" s="207"/>
      <c r="P67" s="207"/>
      <c r="Q67" s="207"/>
      <c r="R67" s="207"/>
      <c r="S67" s="207"/>
      <c r="T67" s="207"/>
      <c r="U67" s="207"/>
      <c r="V67" s="207"/>
      <c r="W67" s="207"/>
      <c r="X67" s="207"/>
      <c r="Y67" s="207"/>
      <c r="Z67" s="207"/>
    </row>
    <row r="68" spans="1:26" ht="195">
      <c r="A68" s="206" t="s">
        <v>772</v>
      </c>
      <c r="B68" s="207" t="s">
        <v>774</v>
      </c>
      <c r="C68" s="207" t="s">
        <v>1442</v>
      </c>
      <c r="D68" s="207" t="s">
        <v>1870</v>
      </c>
      <c r="E68" s="208" t="s">
        <v>1530</v>
      </c>
      <c r="F68" s="209" t="s">
        <v>1871</v>
      </c>
      <c r="G68" s="207" t="s">
        <v>1872</v>
      </c>
      <c r="H68" s="207" t="s">
        <v>1873</v>
      </c>
      <c r="I68" s="207" t="s">
        <v>1874</v>
      </c>
      <c r="J68" s="207" t="s">
        <v>774</v>
      </c>
      <c r="K68" s="207" t="s">
        <v>774</v>
      </c>
      <c r="L68" s="210" t="s">
        <v>1404</v>
      </c>
      <c r="M68" s="207" t="s">
        <v>1306</v>
      </c>
      <c r="N68" s="207" t="s">
        <v>1320</v>
      </c>
      <c r="O68" s="207" t="s">
        <v>1337</v>
      </c>
      <c r="P68" s="207" t="s">
        <v>1356</v>
      </c>
      <c r="Q68" s="207" t="s">
        <v>1375</v>
      </c>
      <c r="R68" s="207" t="s">
        <v>1384</v>
      </c>
      <c r="S68" s="207" t="s">
        <v>1396</v>
      </c>
      <c r="T68" s="207" t="s">
        <v>1415</v>
      </c>
      <c r="U68" s="207" t="s">
        <v>2621</v>
      </c>
      <c r="V68" s="207" t="s">
        <v>2622</v>
      </c>
      <c r="W68" s="207" t="s">
        <v>2623</v>
      </c>
      <c r="X68" s="207" t="s">
        <v>2624</v>
      </c>
      <c r="Y68" s="207" t="s">
        <v>2625</v>
      </c>
      <c r="Z68" s="207"/>
    </row>
    <row r="69" spans="1:26" ht="17.25">
      <c r="A69" s="206"/>
      <c r="B69" s="207"/>
      <c r="C69" s="207"/>
      <c r="D69" s="207"/>
      <c r="E69" s="208"/>
      <c r="F69" s="209"/>
      <c r="G69" s="207"/>
      <c r="H69" s="207"/>
      <c r="I69" s="207"/>
      <c r="J69" s="207"/>
      <c r="K69" s="207"/>
      <c r="L69" s="210"/>
      <c r="M69" s="207"/>
      <c r="N69" s="207"/>
      <c r="O69" s="207"/>
      <c r="P69" s="207"/>
      <c r="Q69" s="207"/>
      <c r="R69" s="207"/>
      <c r="S69" s="207"/>
      <c r="T69" s="207"/>
      <c r="U69" s="207"/>
      <c r="V69" s="207"/>
      <c r="W69" s="207"/>
      <c r="X69" s="207"/>
      <c r="Y69" s="207"/>
      <c r="Z69" s="207"/>
    </row>
    <row r="70" spans="1:26" ht="17.25">
      <c r="A70" s="206" t="s">
        <v>785</v>
      </c>
      <c r="B70" s="207" t="s">
        <v>785</v>
      </c>
      <c r="C70" s="207" t="s">
        <v>1443</v>
      </c>
      <c r="D70" s="207" t="s">
        <v>1875</v>
      </c>
      <c r="E70" s="208" t="s">
        <v>1328</v>
      </c>
      <c r="F70" s="209" t="s">
        <v>1876</v>
      </c>
      <c r="G70" s="207" t="s">
        <v>1877</v>
      </c>
      <c r="H70" s="207" t="s">
        <v>1878</v>
      </c>
      <c r="I70" s="207" t="s">
        <v>1879</v>
      </c>
      <c r="J70" s="207" t="s">
        <v>785</v>
      </c>
      <c r="K70" s="207" t="s">
        <v>785</v>
      </c>
      <c r="L70" s="210" t="s">
        <v>1405</v>
      </c>
      <c r="M70" s="207" t="s">
        <v>1307</v>
      </c>
      <c r="N70" s="207" t="s">
        <v>1321</v>
      </c>
      <c r="O70" s="207" t="s">
        <v>1338</v>
      </c>
      <c r="P70" s="207" t="s">
        <v>1357</v>
      </c>
      <c r="Q70" s="207" t="s">
        <v>1376</v>
      </c>
      <c r="R70" s="207" t="s">
        <v>1385</v>
      </c>
      <c r="S70" s="207" t="s">
        <v>1397</v>
      </c>
      <c r="T70" s="207" t="s">
        <v>1416</v>
      </c>
      <c r="U70" s="207" t="s">
        <v>2626</v>
      </c>
      <c r="V70" s="207" t="s">
        <v>2627</v>
      </c>
      <c r="W70" s="207" t="s">
        <v>2628</v>
      </c>
      <c r="X70" s="207" t="s">
        <v>2629</v>
      </c>
      <c r="Y70" s="207" t="s">
        <v>2630</v>
      </c>
      <c r="Z70" s="207"/>
    </row>
    <row r="71" spans="1:26" ht="30">
      <c r="A71" s="206" t="s">
        <v>308</v>
      </c>
      <c r="B71" s="207" t="s">
        <v>308</v>
      </c>
      <c r="C71" s="207" t="s">
        <v>1444</v>
      </c>
      <c r="D71" s="207" t="s">
        <v>1880</v>
      </c>
      <c r="E71" s="208" t="s">
        <v>1531</v>
      </c>
      <c r="F71" s="209" t="s">
        <v>1881</v>
      </c>
      <c r="G71" s="207" t="s">
        <v>1882</v>
      </c>
      <c r="H71" s="207" t="s">
        <v>1883</v>
      </c>
      <c r="I71" s="207" t="s">
        <v>1884</v>
      </c>
      <c r="J71" s="207" t="s">
        <v>308</v>
      </c>
      <c r="K71" s="207" t="s">
        <v>308</v>
      </c>
      <c r="L71" s="210" t="s">
        <v>510</v>
      </c>
      <c r="M71" s="207" t="s">
        <v>344</v>
      </c>
      <c r="N71" s="207" t="s">
        <v>380</v>
      </c>
      <c r="O71" s="207" t="s">
        <v>723</v>
      </c>
      <c r="P71" s="207" t="s">
        <v>690</v>
      </c>
      <c r="Q71" s="207" t="s">
        <v>647</v>
      </c>
      <c r="R71" s="207" t="s">
        <v>603</v>
      </c>
      <c r="S71" s="207" t="s">
        <v>553</v>
      </c>
      <c r="T71" s="207" t="s">
        <v>465</v>
      </c>
      <c r="U71" s="207" t="s">
        <v>2631</v>
      </c>
      <c r="V71" s="207" t="s">
        <v>2632</v>
      </c>
      <c r="W71" s="207" t="s">
        <v>2633</v>
      </c>
      <c r="X71" s="207" t="s">
        <v>2634</v>
      </c>
      <c r="Y71" s="207" t="s">
        <v>2635</v>
      </c>
      <c r="Z71" s="207"/>
    </row>
    <row r="72" spans="1:26" ht="75">
      <c r="A72" s="206" t="s">
        <v>426</v>
      </c>
      <c r="B72" s="207" t="s">
        <v>426</v>
      </c>
      <c r="C72" s="207" t="s">
        <v>327</v>
      </c>
      <c r="D72" s="207" t="s">
        <v>1885</v>
      </c>
      <c r="E72" s="208" t="s">
        <v>1532</v>
      </c>
      <c r="F72" s="209" t="s">
        <v>1886</v>
      </c>
      <c r="G72" s="207" t="s">
        <v>1887</v>
      </c>
      <c r="H72" s="207" t="s">
        <v>1888</v>
      </c>
      <c r="I72" s="207" t="s">
        <v>1889</v>
      </c>
      <c r="J72" s="207" t="s">
        <v>426</v>
      </c>
      <c r="K72" s="207" t="s">
        <v>426</v>
      </c>
      <c r="L72" s="210" t="s">
        <v>511</v>
      </c>
      <c r="M72" s="207" t="s">
        <v>345</v>
      </c>
      <c r="N72" s="207" t="s">
        <v>381</v>
      </c>
      <c r="O72" s="207" t="s">
        <v>724</v>
      </c>
      <c r="P72" s="207" t="s">
        <v>1358</v>
      </c>
      <c r="Q72" s="207" t="s">
        <v>648</v>
      </c>
      <c r="R72" s="207" t="s">
        <v>604</v>
      </c>
      <c r="S72" s="207" t="s">
        <v>554</v>
      </c>
      <c r="T72" s="207" t="s">
        <v>466</v>
      </c>
      <c r="U72" s="207" t="s">
        <v>2636</v>
      </c>
      <c r="V72" s="207" t="s">
        <v>2637</v>
      </c>
      <c r="W72" s="207" t="s">
        <v>2638</v>
      </c>
      <c r="X72" s="207" t="s">
        <v>2639</v>
      </c>
      <c r="Y72" s="207" t="s">
        <v>2640</v>
      </c>
      <c r="Z72" s="207"/>
    </row>
    <row r="73" spans="1:26" ht="75">
      <c r="A73" s="206" t="s">
        <v>427</v>
      </c>
      <c r="B73" s="207" t="s">
        <v>427</v>
      </c>
      <c r="C73" s="207" t="s">
        <v>328</v>
      </c>
      <c r="D73" s="207" t="s">
        <v>1890</v>
      </c>
      <c r="E73" s="208" t="s">
        <v>1533</v>
      </c>
      <c r="F73" s="209" t="s">
        <v>1891</v>
      </c>
      <c r="G73" s="207" t="s">
        <v>1892</v>
      </c>
      <c r="H73" s="207" t="s">
        <v>1893</v>
      </c>
      <c r="I73" s="207" t="s">
        <v>1894</v>
      </c>
      <c r="J73" s="207" t="s">
        <v>427</v>
      </c>
      <c r="K73" s="207" t="s">
        <v>427</v>
      </c>
      <c r="L73" s="210" t="s">
        <v>512</v>
      </c>
      <c r="M73" s="207" t="s">
        <v>346</v>
      </c>
      <c r="N73" s="207" t="s">
        <v>382</v>
      </c>
      <c r="O73" s="207" t="s">
        <v>725</v>
      </c>
      <c r="P73" s="207" t="s">
        <v>691</v>
      </c>
      <c r="Q73" s="207" t="s">
        <v>649</v>
      </c>
      <c r="R73" s="207" t="s">
        <v>605</v>
      </c>
      <c r="S73" s="207" t="s">
        <v>555</v>
      </c>
      <c r="T73" s="207" t="s">
        <v>467</v>
      </c>
      <c r="U73" s="207" t="s">
        <v>2641</v>
      </c>
      <c r="V73" s="207" t="s">
        <v>2642</v>
      </c>
      <c r="W73" s="207" t="s">
        <v>2643</v>
      </c>
      <c r="X73" s="207" t="s">
        <v>2644</v>
      </c>
      <c r="Y73" s="207" t="s">
        <v>2645</v>
      </c>
      <c r="Z73" s="207"/>
    </row>
    <row r="74" spans="1:26" ht="17.25">
      <c r="A74" s="206"/>
      <c r="B74" s="207"/>
      <c r="C74" s="207"/>
      <c r="D74" s="207"/>
      <c r="E74" s="208"/>
      <c r="F74" s="209"/>
      <c r="G74" s="207"/>
      <c r="H74" s="207"/>
      <c r="I74" s="207"/>
      <c r="J74" s="207"/>
      <c r="K74" s="207"/>
      <c r="L74" s="210"/>
      <c r="M74" s="207"/>
      <c r="N74" s="207"/>
      <c r="O74" s="207"/>
      <c r="P74" s="207"/>
      <c r="Q74" s="207"/>
      <c r="R74" s="207"/>
      <c r="S74" s="207"/>
      <c r="T74" s="207"/>
      <c r="U74" s="207"/>
      <c r="V74" s="207"/>
      <c r="W74" s="207"/>
      <c r="X74" s="207"/>
      <c r="Y74" s="207"/>
      <c r="Z74" s="207"/>
    </row>
    <row r="75" spans="1:26" ht="60">
      <c r="A75" s="206" t="s">
        <v>428</v>
      </c>
      <c r="B75" s="207" t="s">
        <v>428</v>
      </c>
      <c r="C75" s="207" t="s">
        <v>1445</v>
      </c>
      <c r="D75" s="207" t="s">
        <v>1895</v>
      </c>
      <c r="E75" s="208" t="s">
        <v>1534</v>
      </c>
      <c r="F75" s="209" t="s">
        <v>1896</v>
      </c>
      <c r="G75" s="207" t="s">
        <v>1897</v>
      </c>
      <c r="H75" s="207" t="s">
        <v>1898</v>
      </c>
      <c r="I75" s="207" t="s">
        <v>1899</v>
      </c>
      <c r="J75" s="207" t="s">
        <v>428</v>
      </c>
      <c r="K75" s="207" t="s">
        <v>428</v>
      </c>
      <c r="L75" s="210" t="s">
        <v>513</v>
      </c>
      <c r="M75" s="207" t="s">
        <v>347</v>
      </c>
      <c r="N75" s="207" t="s">
        <v>383</v>
      </c>
      <c r="O75" s="207" t="s">
        <v>726</v>
      </c>
      <c r="P75" s="207" t="s">
        <v>1359</v>
      </c>
      <c r="Q75" s="207" t="s">
        <v>650</v>
      </c>
      <c r="R75" s="207" t="s">
        <v>606</v>
      </c>
      <c r="S75" s="207" t="s">
        <v>556</v>
      </c>
      <c r="T75" s="207" t="s">
        <v>468</v>
      </c>
      <c r="U75" s="207" t="s">
        <v>2646</v>
      </c>
      <c r="V75" s="207" t="s">
        <v>2647</v>
      </c>
      <c r="W75" s="207" t="s">
        <v>2648</v>
      </c>
      <c r="X75" s="207" t="s">
        <v>2649</v>
      </c>
      <c r="Y75" s="207" t="s">
        <v>2650</v>
      </c>
      <c r="Z75" s="207"/>
    </row>
    <row r="76" spans="1:26" ht="135">
      <c r="A76" s="206" t="s">
        <v>429</v>
      </c>
      <c r="B76" s="207" t="s">
        <v>429</v>
      </c>
      <c r="C76" s="207" t="s">
        <v>1446</v>
      </c>
      <c r="D76" s="207" t="s">
        <v>1900</v>
      </c>
      <c r="E76" s="220" t="s">
        <v>1535</v>
      </c>
      <c r="F76" s="209" t="s">
        <v>1901</v>
      </c>
      <c r="G76" s="207" t="s">
        <v>1902</v>
      </c>
      <c r="H76" s="207" t="s">
        <v>1903</v>
      </c>
      <c r="I76" s="207" t="s">
        <v>1904</v>
      </c>
      <c r="J76" s="207" t="s">
        <v>429</v>
      </c>
      <c r="K76" s="207" t="s">
        <v>429</v>
      </c>
      <c r="L76" s="210" t="s">
        <v>514</v>
      </c>
      <c r="M76" s="207" t="s">
        <v>348</v>
      </c>
      <c r="N76" s="207" t="s">
        <v>384</v>
      </c>
      <c r="O76" s="207" t="s">
        <v>727</v>
      </c>
      <c r="P76" s="207" t="s">
        <v>692</v>
      </c>
      <c r="Q76" s="207" t="s">
        <v>651</v>
      </c>
      <c r="R76" s="207" t="s">
        <v>607</v>
      </c>
      <c r="S76" s="207" t="s">
        <v>557</v>
      </c>
      <c r="T76" s="207" t="s">
        <v>469</v>
      </c>
      <c r="U76" s="207" t="s">
        <v>2651</v>
      </c>
      <c r="V76" s="207" t="s">
        <v>2652</v>
      </c>
      <c r="W76" s="207" t="s">
        <v>2653</v>
      </c>
      <c r="X76" s="207" t="s">
        <v>2654</v>
      </c>
      <c r="Y76" s="207" t="s">
        <v>2655</v>
      </c>
      <c r="Z76" s="207"/>
    </row>
    <row r="77" spans="1:26" ht="150">
      <c r="A77" s="206" t="s">
        <v>314</v>
      </c>
      <c r="B77" s="207" t="s">
        <v>314</v>
      </c>
      <c r="C77" s="207" t="s">
        <v>1447</v>
      </c>
      <c r="D77" s="207" t="s">
        <v>1905</v>
      </c>
      <c r="E77" s="208" t="s">
        <v>1536</v>
      </c>
      <c r="F77" s="209" t="s">
        <v>1906</v>
      </c>
      <c r="G77" s="207" t="s">
        <v>1907</v>
      </c>
      <c r="H77" s="207" t="s">
        <v>1908</v>
      </c>
      <c r="I77" s="207" t="s">
        <v>1909</v>
      </c>
      <c r="J77" s="207" t="s">
        <v>314</v>
      </c>
      <c r="K77" s="207" t="s">
        <v>314</v>
      </c>
      <c r="L77" s="210" t="s">
        <v>515</v>
      </c>
      <c r="M77" s="207" t="s">
        <v>349</v>
      </c>
      <c r="N77" s="207" t="s">
        <v>385</v>
      </c>
      <c r="O77" s="207" t="s">
        <v>1339</v>
      </c>
      <c r="P77" s="207" t="s">
        <v>693</v>
      </c>
      <c r="Q77" s="207" t="s">
        <v>652</v>
      </c>
      <c r="R77" s="207" t="s">
        <v>608</v>
      </c>
      <c r="S77" s="207" t="s">
        <v>558</v>
      </c>
      <c r="T77" s="207" t="s">
        <v>470</v>
      </c>
      <c r="U77" s="207" t="s">
        <v>2656</v>
      </c>
      <c r="V77" s="207" t="s">
        <v>2657</v>
      </c>
      <c r="W77" s="207" t="s">
        <v>2658</v>
      </c>
      <c r="X77" s="207" t="s">
        <v>2659</v>
      </c>
      <c r="Y77" s="207" t="s">
        <v>2660</v>
      </c>
      <c r="Z77" s="207"/>
    </row>
    <row r="78" spans="1:26" ht="135">
      <c r="A78" s="206" t="s">
        <v>430</v>
      </c>
      <c r="B78" s="207" t="s">
        <v>430</v>
      </c>
      <c r="C78" s="207" t="s">
        <v>1448</v>
      </c>
      <c r="D78" s="207" t="s">
        <v>1910</v>
      </c>
      <c r="E78" s="208" t="s">
        <v>1537</v>
      </c>
      <c r="F78" s="209" t="s">
        <v>1911</v>
      </c>
      <c r="G78" s="207" t="s">
        <v>1912</v>
      </c>
      <c r="H78" s="207" t="s">
        <v>1913</v>
      </c>
      <c r="I78" s="207" t="s">
        <v>1914</v>
      </c>
      <c r="J78" s="207" t="s">
        <v>430</v>
      </c>
      <c r="K78" s="207" t="s">
        <v>430</v>
      </c>
      <c r="L78" s="210" t="s">
        <v>516</v>
      </c>
      <c r="M78" s="207" t="s">
        <v>350</v>
      </c>
      <c r="N78" s="207" t="s">
        <v>386</v>
      </c>
      <c r="O78" s="207" t="s">
        <v>1340</v>
      </c>
      <c r="P78" s="207" t="s">
        <v>694</v>
      </c>
      <c r="Q78" s="207" t="s">
        <v>653</v>
      </c>
      <c r="R78" s="207" t="s">
        <v>609</v>
      </c>
      <c r="S78" s="207" t="s">
        <v>559</v>
      </c>
      <c r="T78" s="207" t="s">
        <v>471</v>
      </c>
      <c r="U78" s="207" t="s">
        <v>2661</v>
      </c>
      <c r="V78" s="207" t="s">
        <v>2662</v>
      </c>
      <c r="W78" s="207" t="s">
        <v>2663</v>
      </c>
      <c r="X78" s="207" t="s">
        <v>2664</v>
      </c>
      <c r="Y78" s="207" t="s">
        <v>2665</v>
      </c>
      <c r="Z78" s="207"/>
    </row>
    <row r="79" spans="1:26" ht="90">
      <c r="A79" s="206" t="s">
        <v>431</v>
      </c>
      <c r="B79" s="207" t="s">
        <v>431</v>
      </c>
      <c r="C79" s="207" t="s">
        <v>1449</v>
      </c>
      <c r="D79" s="207" t="s">
        <v>1915</v>
      </c>
      <c r="E79" s="208" t="s">
        <v>1538</v>
      </c>
      <c r="F79" s="209" t="s">
        <v>1916</v>
      </c>
      <c r="G79" s="207" t="s">
        <v>1917</v>
      </c>
      <c r="H79" s="207" t="s">
        <v>1918</v>
      </c>
      <c r="I79" s="207" t="s">
        <v>1919</v>
      </c>
      <c r="J79" s="207" t="s">
        <v>431</v>
      </c>
      <c r="K79" s="207" t="s">
        <v>431</v>
      </c>
      <c r="L79" s="210" t="s">
        <v>517</v>
      </c>
      <c r="M79" s="207" t="s">
        <v>351</v>
      </c>
      <c r="N79" s="207" t="s">
        <v>387</v>
      </c>
      <c r="O79" s="207" t="s">
        <v>728</v>
      </c>
      <c r="P79" s="207" t="s">
        <v>1360</v>
      </c>
      <c r="Q79" s="207" t="s">
        <v>654</v>
      </c>
      <c r="R79" s="207" t="s">
        <v>610</v>
      </c>
      <c r="S79" s="207" t="s">
        <v>560</v>
      </c>
      <c r="T79" s="207" t="s">
        <v>472</v>
      </c>
      <c r="U79" s="207" t="s">
        <v>2666</v>
      </c>
      <c r="V79" s="207" t="s">
        <v>2667</v>
      </c>
      <c r="W79" s="207" t="s">
        <v>2668</v>
      </c>
      <c r="X79" s="207" t="s">
        <v>2669</v>
      </c>
      <c r="Y79" s="207" t="s">
        <v>2670</v>
      </c>
      <c r="Z79" s="207"/>
    </row>
    <row r="80" spans="1:26" ht="17.25">
      <c r="A80" s="206"/>
      <c r="B80" s="207"/>
      <c r="C80" s="207"/>
      <c r="D80" s="207"/>
      <c r="E80" s="208"/>
      <c r="F80" s="209"/>
      <c r="G80" s="207"/>
      <c r="H80" s="207"/>
      <c r="I80" s="207"/>
      <c r="J80" s="207"/>
      <c r="K80" s="207"/>
      <c r="L80" s="210"/>
      <c r="M80" s="207"/>
      <c r="N80" s="207"/>
      <c r="O80" s="207"/>
      <c r="P80" s="207"/>
      <c r="Q80" s="207"/>
      <c r="R80" s="207"/>
      <c r="S80" s="207"/>
      <c r="T80" s="207"/>
      <c r="U80" s="207"/>
      <c r="V80" s="207"/>
      <c r="W80" s="207"/>
      <c r="X80" s="207"/>
      <c r="Y80" s="207"/>
      <c r="Z80" s="207"/>
    </row>
    <row r="81" spans="1:26" ht="17.25">
      <c r="A81" s="206" t="s">
        <v>213</v>
      </c>
      <c r="B81" s="207" t="s">
        <v>213</v>
      </c>
      <c r="C81" s="207" t="s">
        <v>266</v>
      </c>
      <c r="D81" s="207" t="s">
        <v>1789</v>
      </c>
      <c r="E81" s="208" t="s">
        <v>260</v>
      </c>
      <c r="F81" s="209" t="s">
        <v>1790</v>
      </c>
      <c r="G81" s="207" t="s">
        <v>1920</v>
      </c>
      <c r="H81" s="207" t="s">
        <v>1792</v>
      </c>
      <c r="I81" s="207" t="s">
        <v>1793</v>
      </c>
      <c r="J81" s="207" t="s">
        <v>213</v>
      </c>
      <c r="K81" s="207" t="s">
        <v>213</v>
      </c>
      <c r="L81" s="210" t="s">
        <v>248</v>
      </c>
      <c r="M81" s="207" t="s">
        <v>264</v>
      </c>
      <c r="N81" s="207" t="s">
        <v>262</v>
      </c>
      <c r="O81" s="207" t="s">
        <v>258</v>
      </c>
      <c r="P81" s="207" t="s">
        <v>256</v>
      </c>
      <c r="Q81" s="207" t="s">
        <v>254</v>
      </c>
      <c r="R81" s="207" t="s">
        <v>252</v>
      </c>
      <c r="S81" s="207" t="s">
        <v>250</v>
      </c>
      <c r="T81" s="207" t="s">
        <v>246</v>
      </c>
      <c r="U81" s="207" t="s">
        <v>2474</v>
      </c>
      <c r="V81" s="207" t="s">
        <v>2475</v>
      </c>
      <c r="W81" s="207" t="s">
        <v>2476</v>
      </c>
      <c r="X81" s="207" t="s">
        <v>2477</v>
      </c>
      <c r="Y81" s="207" t="s">
        <v>2478</v>
      </c>
      <c r="Z81" s="207"/>
    </row>
    <row r="82" spans="1:26" ht="210">
      <c r="A82" s="206" t="s">
        <v>432</v>
      </c>
      <c r="B82" s="207" t="s">
        <v>432</v>
      </c>
      <c r="C82" s="207" t="s">
        <v>1450</v>
      </c>
      <c r="D82" s="207" t="s">
        <v>1921</v>
      </c>
      <c r="E82" s="208" t="s">
        <v>1539</v>
      </c>
      <c r="F82" s="209" t="s">
        <v>1922</v>
      </c>
      <c r="G82" s="207" t="s">
        <v>1923</v>
      </c>
      <c r="H82" s="207" t="s">
        <v>1924</v>
      </c>
      <c r="I82" s="207" t="s">
        <v>1925</v>
      </c>
      <c r="J82" s="207" t="s">
        <v>432</v>
      </c>
      <c r="K82" s="207" t="s">
        <v>432</v>
      </c>
      <c r="L82" s="210" t="s">
        <v>1406</v>
      </c>
      <c r="M82" s="207" t="s">
        <v>1308</v>
      </c>
      <c r="N82" s="207" t="s">
        <v>388</v>
      </c>
      <c r="O82" s="207" t="s">
        <v>729</v>
      </c>
      <c r="P82" s="207" t="s">
        <v>1361</v>
      </c>
      <c r="Q82" s="207" t="s">
        <v>1377</v>
      </c>
      <c r="R82" s="207" t="s">
        <v>611</v>
      </c>
      <c r="S82" s="207" t="s">
        <v>561</v>
      </c>
      <c r="T82" s="207" t="s">
        <v>473</v>
      </c>
      <c r="U82" s="207" t="s">
        <v>2671</v>
      </c>
      <c r="V82" s="207" t="s">
        <v>2672</v>
      </c>
      <c r="W82" s="207" t="s">
        <v>2673</v>
      </c>
      <c r="X82" s="207" t="s">
        <v>2674</v>
      </c>
      <c r="Y82" s="207" t="s">
        <v>2675</v>
      </c>
      <c r="Z82" s="207"/>
    </row>
    <row r="83" spans="1:26" ht="17.25">
      <c r="A83" s="206"/>
      <c r="B83" s="207"/>
      <c r="C83" s="207"/>
      <c r="D83" s="207"/>
      <c r="E83" s="208"/>
      <c r="F83" s="209"/>
      <c r="G83" s="207"/>
      <c r="H83" s="207"/>
      <c r="I83" s="207"/>
      <c r="J83" s="207"/>
      <c r="K83" s="207"/>
      <c r="L83" s="210"/>
      <c r="M83" s="207"/>
      <c r="N83" s="207"/>
      <c r="O83" s="207"/>
      <c r="P83" s="207"/>
      <c r="Q83" s="207"/>
      <c r="R83" s="207"/>
      <c r="S83" s="207"/>
      <c r="T83" s="207"/>
      <c r="U83" s="207"/>
      <c r="V83" s="207"/>
      <c r="W83" s="207"/>
      <c r="X83" s="207"/>
      <c r="Y83" s="207"/>
      <c r="Z83" s="207"/>
    </row>
    <row r="84" spans="1:26" ht="17.25">
      <c r="A84" s="206" t="s">
        <v>315</v>
      </c>
      <c r="B84" s="207" t="s">
        <v>315</v>
      </c>
      <c r="C84" s="207" t="s">
        <v>329</v>
      </c>
      <c r="D84" s="207" t="s">
        <v>1926</v>
      </c>
      <c r="E84" s="208" t="s">
        <v>757</v>
      </c>
      <c r="F84" s="209" t="s">
        <v>1927</v>
      </c>
      <c r="G84" s="207" t="s">
        <v>1928</v>
      </c>
      <c r="H84" s="207" t="s">
        <v>1929</v>
      </c>
      <c r="I84" s="207" t="s">
        <v>1930</v>
      </c>
      <c r="J84" s="207" t="s">
        <v>315</v>
      </c>
      <c r="K84" s="207" t="s">
        <v>315</v>
      </c>
      <c r="L84" s="210" t="s">
        <v>518</v>
      </c>
      <c r="M84" s="207" t="s">
        <v>352</v>
      </c>
      <c r="N84" s="207" t="s">
        <v>389</v>
      </c>
      <c r="O84" s="207" t="s">
        <v>730</v>
      </c>
      <c r="P84" s="207" t="s">
        <v>695</v>
      </c>
      <c r="Q84" s="207" t="s">
        <v>655</v>
      </c>
      <c r="R84" s="207" t="s">
        <v>612</v>
      </c>
      <c r="S84" s="207" t="s">
        <v>562</v>
      </c>
      <c r="T84" s="207" t="s">
        <v>474</v>
      </c>
      <c r="U84" s="207" t="s">
        <v>2676</v>
      </c>
      <c r="V84" s="207" t="s">
        <v>2677</v>
      </c>
      <c r="W84" s="207" t="s">
        <v>2678</v>
      </c>
      <c r="X84" s="207" t="s">
        <v>2679</v>
      </c>
      <c r="Y84" s="207" t="s">
        <v>2680</v>
      </c>
      <c r="Z84" s="207"/>
    </row>
    <row r="85" spans="1:26" ht="17.25">
      <c r="A85" s="206" t="s">
        <v>411</v>
      </c>
      <c r="B85" s="207" t="s">
        <v>411</v>
      </c>
      <c r="C85" s="207" t="s">
        <v>1297</v>
      </c>
      <c r="D85" s="207" t="s">
        <v>411</v>
      </c>
      <c r="E85" s="208" t="s">
        <v>1540</v>
      </c>
      <c r="F85" s="209" t="s">
        <v>1931</v>
      </c>
      <c r="G85" s="207" t="s">
        <v>1932</v>
      </c>
      <c r="H85" s="207" t="s">
        <v>1933</v>
      </c>
      <c r="I85" s="207" t="s">
        <v>1934</v>
      </c>
      <c r="J85" s="207" t="s">
        <v>411</v>
      </c>
      <c r="K85" s="207" t="s">
        <v>411</v>
      </c>
      <c r="L85" s="210" t="s">
        <v>519</v>
      </c>
      <c r="M85" s="207" t="s">
        <v>420</v>
      </c>
      <c r="N85" s="207" t="s">
        <v>415</v>
      </c>
      <c r="O85" s="207" t="s">
        <v>731</v>
      </c>
      <c r="P85" s="207" t="s">
        <v>696</v>
      </c>
      <c r="Q85" s="207" t="s">
        <v>656</v>
      </c>
      <c r="R85" s="207" t="s">
        <v>613</v>
      </c>
      <c r="S85" s="207" t="s">
        <v>563</v>
      </c>
      <c r="T85" s="207" t="s">
        <v>475</v>
      </c>
      <c r="U85" s="207" t="s">
        <v>2681</v>
      </c>
      <c r="V85" s="207" t="s">
        <v>2682</v>
      </c>
      <c r="W85" s="207" t="s">
        <v>2683</v>
      </c>
      <c r="X85" s="207" t="s">
        <v>2684</v>
      </c>
      <c r="Y85" s="207" t="s">
        <v>2685</v>
      </c>
      <c r="Z85" s="207"/>
    </row>
    <row r="86" spans="1:26" ht="165">
      <c r="A86" s="206" t="s">
        <v>787</v>
      </c>
      <c r="B86" s="207" t="s">
        <v>787</v>
      </c>
      <c r="C86" s="207" t="s">
        <v>1451</v>
      </c>
      <c r="D86" s="207" t="s">
        <v>1935</v>
      </c>
      <c r="E86" s="208" t="s">
        <v>1541</v>
      </c>
      <c r="F86" s="209" t="s">
        <v>1936</v>
      </c>
      <c r="G86" s="207" t="s">
        <v>1937</v>
      </c>
      <c r="H86" s="207" t="s">
        <v>1938</v>
      </c>
      <c r="I86" s="207" t="s">
        <v>1939</v>
      </c>
      <c r="J86" s="207" t="s">
        <v>787</v>
      </c>
      <c r="K86" s="207" t="s">
        <v>787</v>
      </c>
      <c r="L86" s="210" t="s">
        <v>1407</v>
      </c>
      <c r="M86" s="207" t="s">
        <v>1309</v>
      </c>
      <c r="N86" s="207" t="s">
        <v>1322</v>
      </c>
      <c r="O86" s="207" t="s">
        <v>1341</v>
      </c>
      <c r="P86" s="207" t="s">
        <v>1362</v>
      </c>
      <c r="Q86" s="207" t="s">
        <v>1378</v>
      </c>
      <c r="R86" s="207" t="s">
        <v>1386</v>
      </c>
      <c r="S86" s="207" t="s">
        <v>1398</v>
      </c>
      <c r="T86" s="207" t="s">
        <v>1417</v>
      </c>
      <c r="U86" s="207" t="s">
        <v>2686</v>
      </c>
      <c r="V86" s="207" t="s">
        <v>2687</v>
      </c>
      <c r="W86" s="207" t="s">
        <v>2688</v>
      </c>
      <c r="X86" s="207" t="s">
        <v>2689</v>
      </c>
      <c r="Y86" s="207" t="s">
        <v>2690</v>
      </c>
      <c r="Z86" s="207"/>
    </row>
    <row r="87" spans="1:26" ht="75">
      <c r="A87" s="206" t="s">
        <v>309</v>
      </c>
      <c r="B87" s="207" t="s">
        <v>309</v>
      </c>
      <c r="C87" s="207" t="s">
        <v>1452</v>
      </c>
      <c r="D87" s="207" t="s">
        <v>1940</v>
      </c>
      <c r="E87" s="208" t="s">
        <v>1542</v>
      </c>
      <c r="F87" s="209" t="s">
        <v>1941</v>
      </c>
      <c r="G87" s="207" t="s">
        <v>1942</v>
      </c>
      <c r="H87" s="207" t="s">
        <v>1943</v>
      </c>
      <c r="I87" s="207" t="s">
        <v>1944</v>
      </c>
      <c r="J87" s="207" t="s">
        <v>309</v>
      </c>
      <c r="K87" s="207" t="s">
        <v>309</v>
      </c>
      <c r="L87" s="210" t="s">
        <v>520</v>
      </c>
      <c r="M87" s="207" t="s">
        <v>353</v>
      </c>
      <c r="N87" s="207" t="s">
        <v>390</v>
      </c>
      <c r="O87" s="207" t="s">
        <v>732</v>
      </c>
      <c r="P87" s="207" t="s">
        <v>1363</v>
      </c>
      <c r="Q87" s="207" t="s">
        <v>657</v>
      </c>
      <c r="R87" s="207" t="s">
        <v>614</v>
      </c>
      <c r="S87" s="207" t="s">
        <v>564</v>
      </c>
      <c r="T87" s="207" t="s">
        <v>476</v>
      </c>
      <c r="U87" s="207" t="s">
        <v>2691</v>
      </c>
      <c r="V87" s="207" t="s">
        <v>2692</v>
      </c>
      <c r="W87" s="207" t="s">
        <v>2693</v>
      </c>
      <c r="X87" s="207" t="s">
        <v>2694</v>
      </c>
      <c r="Y87" s="207" t="s">
        <v>2695</v>
      </c>
      <c r="Z87" s="207"/>
    </row>
    <row r="88" spans="1:26" ht="90">
      <c r="A88" s="206" t="s">
        <v>310</v>
      </c>
      <c r="B88" s="207" t="s">
        <v>310</v>
      </c>
      <c r="C88" s="207" t="s">
        <v>1453</v>
      </c>
      <c r="D88" s="207" t="s">
        <v>1945</v>
      </c>
      <c r="E88" s="208" t="s">
        <v>1543</v>
      </c>
      <c r="F88" s="209" t="s">
        <v>1946</v>
      </c>
      <c r="G88" s="207" t="s">
        <v>1947</v>
      </c>
      <c r="H88" s="207" t="s">
        <v>1948</v>
      </c>
      <c r="I88" s="207" t="s">
        <v>1949</v>
      </c>
      <c r="J88" s="207" t="s">
        <v>310</v>
      </c>
      <c r="K88" s="207" t="s">
        <v>310</v>
      </c>
      <c r="L88" s="210" t="s">
        <v>521</v>
      </c>
      <c r="M88" s="207" t="s">
        <v>354</v>
      </c>
      <c r="N88" s="207" t="s">
        <v>391</v>
      </c>
      <c r="O88" s="207" t="s">
        <v>733</v>
      </c>
      <c r="P88" s="207" t="s">
        <v>697</v>
      </c>
      <c r="Q88" s="207" t="s">
        <v>658</v>
      </c>
      <c r="R88" s="207" t="s">
        <v>615</v>
      </c>
      <c r="S88" s="207" t="s">
        <v>565</v>
      </c>
      <c r="T88" s="207" t="s">
        <v>477</v>
      </c>
      <c r="U88" s="207" t="s">
        <v>2696</v>
      </c>
      <c r="V88" s="207" t="s">
        <v>2697</v>
      </c>
      <c r="W88" s="207" t="s">
        <v>2698</v>
      </c>
      <c r="X88" s="207" t="s">
        <v>2699</v>
      </c>
      <c r="Y88" s="207" t="s">
        <v>2700</v>
      </c>
      <c r="Z88" s="207"/>
    </row>
    <row r="89" spans="1:26" ht="17.25">
      <c r="A89" s="206"/>
      <c r="B89" s="207"/>
      <c r="C89" s="207"/>
      <c r="D89" s="207"/>
      <c r="E89" s="208"/>
      <c r="F89" s="209"/>
      <c r="G89" s="207"/>
      <c r="H89" s="207"/>
      <c r="I89" s="207"/>
      <c r="J89" s="207"/>
      <c r="K89" s="207"/>
      <c r="L89" s="210"/>
      <c r="M89" s="207"/>
      <c r="N89" s="207"/>
      <c r="O89" s="207"/>
      <c r="P89" s="207"/>
      <c r="Q89" s="207"/>
      <c r="R89" s="207"/>
      <c r="S89" s="207"/>
      <c r="T89" s="207"/>
      <c r="U89" s="207"/>
      <c r="V89" s="207"/>
      <c r="W89" s="207"/>
      <c r="X89" s="207"/>
      <c r="Y89" s="207"/>
      <c r="Z89" s="207"/>
    </row>
    <row r="90" spans="1:26" ht="17.25">
      <c r="A90" s="206" t="s">
        <v>316</v>
      </c>
      <c r="B90" s="207" t="s">
        <v>316</v>
      </c>
      <c r="C90" s="207" t="s">
        <v>330</v>
      </c>
      <c r="D90" s="207" t="s">
        <v>1950</v>
      </c>
      <c r="E90" s="208" t="s">
        <v>1544</v>
      </c>
      <c r="F90" s="209" t="s">
        <v>1951</v>
      </c>
      <c r="G90" s="207" t="s">
        <v>1952</v>
      </c>
      <c r="H90" s="207" t="s">
        <v>1953</v>
      </c>
      <c r="I90" s="207" t="s">
        <v>1954</v>
      </c>
      <c r="J90" s="207" t="s">
        <v>316</v>
      </c>
      <c r="K90" s="207" t="s">
        <v>316</v>
      </c>
      <c r="L90" s="210" t="s">
        <v>522</v>
      </c>
      <c r="M90" s="207" t="s">
        <v>355</v>
      </c>
      <c r="N90" s="207" t="s">
        <v>392</v>
      </c>
      <c r="O90" s="207" t="s">
        <v>734</v>
      </c>
      <c r="P90" s="207" t="s">
        <v>698</v>
      </c>
      <c r="Q90" s="207" t="s">
        <v>659</v>
      </c>
      <c r="R90" s="207" t="s">
        <v>616</v>
      </c>
      <c r="S90" s="207" t="s">
        <v>566</v>
      </c>
      <c r="T90" s="207" t="s">
        <v>478</v>
      </c>
      <c r="U90" s="207" t="s">
        <v>2701</v>
      </c>
      <c r="V90" s="207" t="s">
        <v>2702</v>
      </c>
      <c r="W90" s="207" t="s">
        <v>2703</v>
      </c>
      <c r="X90" s="207" t="s">
        <v>2704</v>
      </c>
      <c r="Y90" s="207" t="s">
        <v>2705</v>
      </c>
      <c r="Z90" s="207"/>
    </row>
    <row r="91" spans="1:26" ht="17.25">
      <c r="A91" s="206" t="s">
        <v>412</v>
      </c>
      <c r="B91" s="207" t="s">
        <v>412</v>
      </c>
      <c r="C91" s="207" t="s">
        <v>1454</v>
      </c>
      <c r="D91" s="207" t="s">
        <v>412</v>
      </c>
      <c r="E91" s="208" t="s">
        <v>1545</v>
      </c>
      <c r="F91" s="209" t="s">
        <v>1955</v>
      </c>
      <c r="G91" s="207" t="s">
        <v>1956</v>
      </c>
      <c r="H91" s="207" t="s">
        <v>1957</v>
      </c>
      <c r="I91" s="207" t="s">
        <v>1958</v>
      </c>
      <c r="J91" s="207" t="s">
        <v>412</v>
      </c>
      <c r="K91" s="207" t="s">
        <v>412</v>
      </c>
      <c r="L91" s="210" t="s">
        <v>523</v>
      </c>
      <c r="M91" s="207" t="s">
        <v>422</v>
      </c>
      <c r="N91" s="207" t="s">
        <v>416</v>
      </c>
      <c r="O91" s="207" t="s">
        <v>735</v>
      </c>
      <c r="P91" s="207" t="s">
        <v>699</v>
      </c>
      <c r="Q91" s="207" t="s">
        <v>660</v>
      </c>
      <c r="R91" s="207" t="s">
        <v>617</v>
      </c>
      <c r="S91" s="207" t="s">
        <v>567</v>
      </c>
      <c r="T91" s="207" t="s">
        <v>479</v>
      </c>
      <c r="U91" s="207" t="s">
        <v>2706</v>
      </c>
      <c r="V91" s="207" t="s">
        <v>2707</v>
      </c>
      <c r="W91" s="207" t="s">
        <v>2708</v>
      </c>
      <c r="X91" s="207" t="s">
        <v>2709</v>
      </c>
      <c r="Y91" s="207" t="s">
        <v>2710</v>
      </c>
      <c r="Z91" s="207"/>
    </row>
    <row r="92" spans="1:26" ht="60">
      <c r="A92" s="206" t="s">
        <v>433</v>
      </c>
      <c r="B92" s="207" t="s">
        <v>433</v>
      </c>
      <c r="C92" s="207" t="s">
        <v>1455</v>
      </c>
      <c r="D92" s="207" t="s">
        <v>1959</v>
      </c>
      <c r="E92" s="208" t="s">
        <v>1546</v>
      </c>
      <c r="F92" s="209" t="s">
        <v>1960</v>
      </c>
      <c r="G92" s="207" t="s">
        <v>1961</v>
      </c>
      <c r="H92" s="207" t="s">
        <v>1962</v>
      </c>
      <c r="I92" s="207" t="s">
        <v>1963</v>
      </c>
      <c r="J92" s="207" t="s">
        <v>433</v>
      </c>
      <c r="K92" s="207" t="s">
        <v>433</v>
      </c>
      <c r="L92" s="210" t="s">
        <v>524</v>
      </c>
      <c r="M92" s="207" t="s">
        <v>356</v>
      </c>
      <c r="N92" s="207" t="s">
        <v>393</v>
      </c>
      <c r="O92" s="207" t="s">
        <v>736</v>
      </c>
      <c r="P92" s="207" t="s">
        <v>1364</v>
      </c>
      <c r="Q92" s="207" t="s">
        <v>661</v>
      </c>
      <c r="R92" s="207" t="s">
        <v>618</v>
      </c>
      <c r="S92" s="207" t="s">
        <v>568</v>
      </c>
      <c r="T92" s="207" t="s">
        <v>480</v>
      </c>
      <c r="U92" s="207" t="s">
        <v>2711</v>
      </c>
      <c r="V92" s="207" t="s">
        <v>2712</v>
      </c>
      <c r="W92" s="207" t="s">
        <v>2713</v>
      </c>
      <c r="X92" s="207" t="s">
        <v>2714</v>
      </c>
      <c r="Y92" s="207" t="s">
        <v>2715</v>
      </c>
      <c r="Z92" s="207"/>
    </row>
    <row r="93" spans="1:26" ht="45">
      <c r="A93" s="206" t="s">
        <v>434</v>
      </c>
      <c r="B93" s="207" t="s">
        <v>434</v>
      </c>
      <c r="C93" s="207" t="s">
        <v>1456</v>
      </c>
      <c r="D93" s="207" t="s">
        <v>1964</v>
      </c>
      <c r="E93" s="208" t="s">
        <v>1547</v>
      </c>
      <c r="F93" s="209" t="s">
        <v>1965</v>
      </c>
      <c r="G93" s="207" t="s">
        <v>1966</v>
      </c>
      <c r="H93" s="207" t="s">
        <v>1967</v>
      </c>
      <c r="I93" s="207" t="s">
        <v>1968</v>
      </c>
      <c r="J93" s="207" t="s">
        <v>434</v>
      </c>
      <c r="K93" s="207" t="s">
        <v>434</v>
      </c>
      <c r="L93" s="210" t="s">
        <v>525</v>
      </c>
      <c r="M93" s="207" t="s">
        <v>357</v>
      </c>
      <c r="N93" s="207" t="s">
        <v>394</v>
      </c>
      <c r="O93" s="207" t="s">
        <v>1342</v>
      </c>
      <c r="P93" s="207" t="s">
        <v>700</v>
      </c>
      <c r="Q93" s="207" t="s">
        <v>662</v>
      </c>
      <c r="R93" s="207" t="s">
        <v>619</v>
      </c>
      <c r="S93" s="207" t="s">
        <v>569</v>
      </c>
      <c r="T93" s="207" t="s">
        <v>481</v>
      </c>
      <c r="U93" s="207" t="s">
        <v>2716</v>
      </c>
      <c r="V93" s="207" t="s">
        <v>2717</v>
      </c>
      <c r="W93" s="207" t="s">
        <v>2718</v>
      </c>
      <c r="X93" s="207" t="s">
        <v>2719</v>
      </c>
      <c r="Y93" s="207" t="s">
        <v>2720</v>
      </c>
      <c r="Z93" s="207"/>
    </row>
    <row r="94" spans="1:26" ht="75">
      <c r="A94" s="206" t="s">
        <v>425</v>
      </c>
      <c r="B94" s="207" t="s">
        <v>425</v>
      </c>
      <c r="C94" s="207" t="s">
        <v>1457</v>
      </c>
      <c r="D94" s="207" t="s">
        <v>1969</v>
      </c>
      <c r="E94" s="208" t="s">
        <v>1548</v>
      </c>
      <c r="F94" s="209" t="s">
        <v>1970</v>
      </c>
      <c r="G94" s="207" t="s">
        <v>1971</v>
      </c>
      <c r="H94" s="207" t="s">
        <v>1972</v>
      </c>
      <c r="I94" s="207" t="s">
        <v>1973</v>
      </c>
      <c r="J94" s="207" t="s">
        <v>425</v>
      </c>
      <c r="K94" s="207" t="s">
        <v>425</v>
      </c>
      <c r="L94" s="210" t="s">
        <v>526</v>
      </c>
      <c r="M94" s="207" t="s">
        <v>1310</v>
      </c>
      <c r="N94" s="207" t="s">
        <v>1323</v>
      </c>
      <c r="O94" s="207" t="s">
        <v>737</v>
      </c>
      <c r="P94" s="207" t="s">
        <v>1365</v>
      </c>
      <c r="Q94" s="207" t="s">
        <v>663</v>
      </c>
      <c r="R94" s="207" t="s">
        <v>620</v>
      </c>
      <c r="S94" s="207" t="s">
        <v>570</v>
      </c>
      <c r="T94" s="207" t="s">
        <v>482</v>
      </c>
      <c r="U94" s="207" t="s">
        <v>2721</v>
      </c>
      <c r="V94" s="207" t="s">
        <v>2722</v>
      </c>
      <c r="W94" s="207" t="s">
        <v>2723</v>
      </c>
      <c r="X94" s="207" t="s">
        <v>2724</v>
      </c>
      <c r="Y94" s="207" t="s">
        <v>2725</v>
      </c>
      <c r="Z94" s="207"/>
    </row>
    <row r="95" spans="1:26" ht="138">
      <c r="A95" s="206" t="s">
        <v>435</v>
      </c>
      <c r="B95" s="207" t="s">
        <v>435</v>
      </c>
      <c r="C95" s="207" t="s">
        <v>1458</v>
      </c>
      <c r="D95" s="207" t="s">
        <v>1974</v>
      </c>
      <c r="E95" s="208" t="s">
        <v>1549</v>
      </c>
      <c r="F95" s="209" t="s">
        <v>1975</v>
      </c>
      <c r="G95" s="207" t="s">
        <v>1976</v>
      </c>
      <c r="H95" s="207" t="s">
        <v>1977</v>
      </c>
      <c r="I95" s="207" t="s">
        <v>1978</v>
      </c>
      <c r="J95" s="207" t="s">
        <v>435</v>
      </c>
      <c r="K95" s="207" t="s">
        <v>435</v>
      </c>
      <c r="L95" s="210" t="s">
        <v>527</v>
      </c>
      <c r="M95" s="207" t="s">
        <v>1311</v>
      </c>
      <c r="N95" s="207" t="s">
        <v>1324</v>
      </c>
      <c r="O95" s="207" t="s">
        <v>1343</v>
      </c>
      <c r="P95" s="207" t="s">
        <v>701</v>
      </c>
      <c r="Q95" s="207" t="s">
        <v>664</v>
      </c>
      <c r="R95" s="207" t="s">
        <v>621</v>
      </c>
      <c r="S95" s="207" t="s">
        <v>571</v>
      </c>
      <c r="T95" s="207" t="s">
        <v>483</v>
      </c>
      <c r="U95" s="207" t="s">
        <v>2726</v>
      </c>
      <c r="V95" s="207" t="s">
        <v>2727</v>
      </c>
      <c r="W95" s="207" t="s">
        <v>2728</v>
      </c>
      <c r="X95" s="207" t="s">
        <v>2729</v>
      </c>
      <c r="Y95" s="207" t="s">
        <v>2730</v>
      </c>
      <c r="Z95" s="207"/>
    </row>
    <row r="96" spans="1:26" ht="17.25">
      <c r="A96" s="206"/>
      <c r="B96" s="207"/>
      <c r="C96" s="207"/>
      <c r="D96" s="207"/>
      <c r="E96" s="208"/>
      <c r="F96" s="209"/>
      <c r="G96" s="207"/>
      <c r="H96" s="207"/>
      <c r="I96" s="207"/>
      <c r="J96" s="207"/>
      <c r="K96" s="207"/>
      <c r="L96" s="210"/>
      <c r="M96" s="207"/>
      <c r="N96" s="207"/>
      <c r="O96" s="207"/>
      <c r="P96" s="207"/>
      <c r="Q96" s="207"/>
      <c r="R96" s="207"/>
      <c r="S96" s="207"/>
      <c r="T96" s="207"/>
      <c r="U96" s="207"/>
      <c r="V96" s="207"/>
      <c r="W96" s="207"/>
      <c r="X96" s="207"/>
      <c r="Y96" s="207"/>
      <c r="Z96" s="207"/>
    </row>
    <row r="97" spans="1:26" ht="17.25">
      <c r="A97" s="206" t="s">
        <v>322</v>
      </c>
      <c r="B97" s="207" t="s">
        <v>322</v>
      </c>
      <c r="C97" s="207" t="s">
        <v>1459</v>
      </c>
      <c r="D97" s="207" t="s">
        <v>1979</v>
      </c>
      <c r="E97" s="208" t="s">
        <v>758</v>
      </c>
      <c r="F97" s="209" t="s">
        <v>1980</v>
      </c>
      <c r="G97" s="207" t="s">
        <v>1981</v>
      </c>
      <c r="H97" s="207" t="s">
        <v>1982</v>
      </c>
      <c r="I97" s="207" t="s">
        <v>1983</v>
      </c>
      <c r="J97" s="207" t="s">
        <v>322</v>
      </c>
      <c r="K97" s="207" t="s">
        <v>322</v>
      </c>
      <c r="L97" s="210" t="s">
        <v>528</v>
      </c>
      <c r="M97" s="207" t="s">
        <v>358</v>
      </c>
      <c r="N97" s="207" t="s">
        <v>395</v>
      </c>
      <c r="O97" s="207" t="s">
        <v>738</v>
      </c>
      <c r="P97" s="207" t="s">
        <v>702</v>
      </c>
      <c r="Q97" s="207" t="s">
        <v>665</v>
      </c>
      <c r="R97" s="207" t="s">
        <v>622</v>
      </c>
      <c r="S97" s="207" t="s">
        <v>572</v>
      </c>
      <c r="T97" s="207" t="s">
        <v>484</v>
      </c>
      <c r="U97" s="207" t="s">
        <v>2731</v>
      </c>
      <c r="V97" s="207" t="s">
        <v>2732</v>
      </c>
      <c r="W97" s="207" t="s">
        <v>2733</v>
      </c>
      <c r="X97" s="207" t="s">
        <v>2734</v>
      </c>
      <c r="Y97" s="207" t="s">
        <v>2735</v>
      </c>
      <c r="Z97" s="207"/>
    </row>
    <row r="98" spans="1:26" ht="17.25">
      <c r="A98" s="206" t="s">
        <v>413</v>
      </c>
      <c r="B98" s="207" t="s">
        <v>413</v>
      </c>
      <c r="C98" s="207" t="s">
        <v>1460</v>
      </c>
      <c r="D98" s="207" t="s">
        <v>591</v>
      </c>
      <c r="E98" s="208" t="s">
        <v>1550</v>
      </c>
      <c r="F98" s="209" t="s">
        <v>1984</v>
      </c>
      <c r="G98" s="207" t="s">
        <v>1985</v>
      </c>
      <c r="H98" s="207" t="s">
        <v>1986</v>
      </c>
      <c r="I98" s="207" t="s">
        <v>1987</v>
      </c>
      <c r="J98" s="207" t="s">
        <v>413</v>
      </c>
      <c r="K98" s="207" t="s">
        <v>413</v>
      </c>
      <c r="L98" s="210" t="s">
        <v>529</v>
      </c>
      <c r="M98" s="207" t="s">
        <v>421</v>
      </c>
      <c r="N98" s="207" t="s">
        <v>417</v>
      </c>
      <c r="O98" s="207" t="s">
        <v>739</v>
      </c>
      <c r="P98" s="207" t="s">
        <v>703</v>
      </c>
      <c r="Q98" s="207" t="s">
        <v>666</v>
      </c>
      <c r="R98" s="207" t="s">
        <v>623</v>
      </c>
      <c r="S98" s="207" t="s">
        <v>573</v>
      </c>
      <c r="T98" s="207" t="s">
        <v>485</v>
      </c>
      <c r="U98" s="207" t="s">
        <v>2736</v>
      </c>
      <c r="V98" s="207" t="s">
        <v>2737</v>
      </c>
      <c r="W98" s="207" t="s">
        <v>2738</v>
      </c>
      <c r="X98" s="207" t="s">
        <v>2739</v>
      </c>
      <c r="Y98" s="207" t="s">
        <v>2740</v>
      </c>
      <c r="Z98" s="207"/>
    </row>
    <row r="99" spans="1:26" ht="180">
      <c r="A99" s="206" t="s">
        <v>786</v>
      </c>
      <c r="B99" s="207" t="s">
        <v>786</v>
      </c>
      <c r="C99" s="207" t="s">
        <v>1298</v>
      </c>
      <c r="D99" s="207" t="s">
        <v>1988</v>
      </c>
      <c r="E99" s="208" t="s">
        <v>1551</v>
      </c>
      <c r="F99" s="209" t="s">
        <v>1989</v>
      </c>
      <c r="G99" s="207" t="s">
        <v>1990</v>
      </c>
      <c r="H99" s="207" t="s">
        <v>1991</v>
      </c>
      <c r="I99" s="207" t="s">
        <v>1992</v>
      </c>
      <c r="J99" s="207" t="s">
        <v>786</v>
      </c>
      <c r="K99" s="207" t="s">
        <v>786</v>
      </c>
      <c r="L99" s="210" t="s">
        <v>1408</v>
      </c>
      <c r="M99" s="207" t="s">
        <v>1312</v>
      </c>
      <c r="N99" s="207" t="s">
        <v>1325</v>
      </c>
      <c r="O99" s="207" t="s">
        <v>1344</v>
      </c>
      <c r="P99" s="207" t="s">
        <v>1366</v>
      </c>
      <c r="Q99" s="207" t="s">
        <v>1379</v>
      </c>
      <c r="R99" s="207" t="s">
        <v>1387</v>
      </c>
      <c r="S99" s="207" t="s">
        <v>1399</v>
      </c>
      <c r="T99" s="207" t="s">
        <v>1418</v>
      </c>
      <c r="U99" s="207" t="s">
        <v>2741</v>
      </c>
      <c r="V99" s="207" t="s">
        <v>2742</v>
      </c>
      <c r="W99" s="207" t="s">
        <v>2743</v>
      </c>
      <c r="X99" s="207" t="s">
        <v>2744</v>
      </c>
      <c r="Y99" s="207" t="s">
        <v>2745</v>
      </c>
      <c r="Z99" s="207"/>
    </row>
    <row r="100" spans="1:26" ht="17.25">
      <c r="A100" s="206"/>
      <c r="B100" s="207"/>
      <c r="C100" s="207"/>
      <c r="D100" s="207"/>
      <c r="E100" s="208"/>
      <c r="F100" s="209"/>
      <c r="G100" s="207"/>
      <c r="H100" s="207"/>
      <c r="I100" s="207"/>
      <c r="J100" s="207"/>
      <c r="K100" s="207"/>
      <c r="L100" s="210"/>
      <c r="M100" s="207"/>
      <c r="N100" s="207"/>
      <c r="O100" s="207"/>
      <c r="P100" s="207"/>
      <c r="Q100" s="207"/>
      <c r="R100" s="207"/>
      <c r="S100" s="207"/>
      <c r="T100" s="207"/>
      <c r="U100" s="207"/>
      <c r="V100" s="207"/>
      <c r="W100" s="207"/>
      <c r="X100" s="207"/>
      <c r="Y100" s="207"/>
      <c r="Z100" s="207"/>
    </row>
    <row r="101" spans="1:26" ht="45">
      <c r="A101" s="206" t="s">
        <v>436</v>
      </c>
      <c r="B101" s="207" t="s">
        <v>436</v>
      </c>
      <c r="C101" s="207" t="s">
        <v>331</v>
      </c>
      <c r="D101" s="207" t="s">
        <v>592</v>
      </c>
      <c r="E101" s="208" t="s">
        <v>1552</v>
      </c>
      <c r="F101" s="209" t="s">
        <v>1993</v>
      </c>
      <c r="G101" s="207" t="s">
        <v>1994</v>
      </c>
      <c r="H101" s="207" t="s">
        <v>1995</v>
      </c>
      <c r="I101" s="207" t="s">
        <v>1996</v>
      </c>
      <c r="J101" s="207" t="s">
        <v>436</v>
      </c>
      <c r="K101" s="207" t="s">
        <v>436</v>
      </c>
      <c r="L101" s="210" t="s">
        <v>530</v>
      </c>
      <c r="M101" s="207" t="s">
        <v>359</v>
      </c>
      <c r="N101" s="207" t="s">
        <v>396</v>
      </c>
      <c r="O101" s="207" t="s">
        <v>1345</v>
      </c>
      <c r="P101" s="207" t="s">
        <v>704</v>
      </c>
      <c r="Q101" s="207" t="s">
        <v>667</v>
      </c>
      <c r="R101" s="207" t="s">
        <v>624</v>
      </c>
      <c r="S101" s="207" t="s">
        <v>574</v>
      </c>
      <c r="T101" s="207" t="s">
        <v>486</v>
      </c>
      <c r="U101" s="207" t="s">
        <v>2746</v>
      </c>
      <c r="V101" s="207" t="s">
        <v>2747</v>
      </c>
      <c r="W101" s="207" t="s">
        <v>2748</v>
      </c>
      <c r="X101" s="207" t="s">
        <v>2749</v>
      </c>
      <c r="Y101" s="207" t="s">
        <v>2750</v>
      </c>
      <c r="Z101" s="207"/>
    </row>
    <row r="102" spans="1:26" ht="105">
      <c r="A102" s="206" t="s">
        <v>317</v>
      </c>
      <c r="B102" s="207" t="s">
        <v>317</v>
      </c>
      <c r="C102" s="207" t="s">
        <v>1461</v>
      </c>
      <c r="D102" s="207" t="s">
        <v>1997</v>
      </c>
      <c r="E102" s="208" t="s">
        <v>1553</v>
      </c>
      <c r="F102" s="209" t="s">
        <v>1998</v>
      </c>
      <c r="G102" s="207" t="s">
        <v>1999</v>
      </c>
      <c r="H102" s="207" t="s">
        <v>2000</v>
      </c>
      <c r="I102" s="207" t="s">
        <v>2001</v>
      </c>
      <c r="J102" s="207" t="s">
        <v>317</v>
      </c>
      <c r="K102" s="207" t="s">
        <v>317</v>
      </c>
      <c r="L102" s="210" t="s">
        <v>531</v>
      </c>
      <c r="M102" s="207" t="s">
        <v>360</v>
      </c>
      <c r="N102" s="207" t="s">
        <v>397</v>
      </c>
      <c r="O102" s="207" t="s">
        <v>740</v>
      </c>
      <c r="P102" s="207" t="s">
        <v>705</v>
      </c>
      <c r="Q102" s="207" t="s">
        <v>668</v>
      </c>
      <c r="R102" s="207" t="s">
        <v>625</v>
      </c>
      <c r="S102" s="207" t="s">
        <v>575</v>
      </c>
      <c r="T102" s="207" t="s">
        <v>487</v>
      </c>
      <c r="U102" s="207" t="s">
        <v>2751</v>
      </c>
      <c r="V102" s="207" t="s">
        <v>2752</v>
      </c>
      <c r="W102" s="207" t="s">
        <v>2753</v>
      </c>
      <c r="X102" s="207" t="s">
        <v>2754</v>
      </c>
      <c r="Y102" s="207" t="s">
        <v>2755</v>
      </c>
      <c r="Z102" s="207"/>
    </row>
    <row r="103" spans="1:26" ht="69">
      <c r="A103" s="206" t="s">
        <v>318</v>
      </c>
      <c r="B103" s="207" t="s">
        <v>318</v>
      </c>
      <c r="C103" s="207" t="s">
        <v>1462</v>
      </c>
      <c r="D103" s="207" t="s">
        <v>2002</v>
      </c>
      <c r="E103" s="208" t="s">
        <v>1554</v>
      </c>
      <c r="F103" s="209" t="s">
        <v>2003</v>
      </c>
      <c r="G103" s="207" t="s">
        <v>2004</v>
      </c>
      <c r="H103" s="207" t="s">
        <v>2005</v>
      </c>
      <c r="I103" s="207" t="s">
        <v>2006</v>
      </c>
      <c r="J103" s="207" t="s">
        <v>318</v>
      </c>
      <c r="K103" s="207" t="s">
        <v>318</v>
      </c>
      <c r="L103" s="210" t="s">
        <v>532</v>
      </c>
      <c r="M103" s="207" t="s">
        <v>361</v>
      </c>
      <c r="N103" s="207" t="s">
        <v>398</v>
      </c>
      <c r="O103" s="207" t="s">
        <v>741</v>
      </c>
      <c r="P103" s="207" t="s">
        <v>1367</v>
      </c>
      <c r="Q103" s="207" t="s">
        <v>669</v>
      </c>
      <c r="R103" s="207" t="s">
        <v>626</v>
      </c>
      <c r="S103" s="207" t="s">
        <v>576</v>
      </c>
      <c r="T103" s="207" t="s">
        <v>488</v>
      </c>
      <c r="U103" s="207" t="s">
        <v>2756</v>
      </c>
      <c r="V103" s="207" t="s">
        <v>2757</v>
      </c>
      <c r="W103" s="207" t="s">
        <v>2758</v>
      </c>
      <c r="X103" s="207" t="s">
        <v>2759</v>
      </c>
      <c r="Y103" s="207" t="s">
        <v>2760</v>
      </c>
      <c r="Z103" s="207"/>
    </row>
    <row r="104" spans="1:26" ht="225">
      <c r="A104" s="206" t="s">
        <v>323</v>
      </c>
      <c r="B104" s="207" t="s">
        <v>323</v>
      </c>
      <c r="C104" s="207" t="s">
        <v>1463</v>
      </c>
      <c r="D104" s="207" t="s">
        <v>2007</v>
      </c>
      <c r="E104" s="208" t="s">
        <v>1555</v>
      </c>
      <c r="F104" s="209" t="s">
        <v>2008</v>
      </c>
      <c r="G104" s="207" t="s">
        <v>2009</v>
      </c>
      <c r="H104" s="207" t="s">
        <v>2010</v>
      </c>
      <c r="I104" s="207" t="s">
        <v>2011</v>
      </c>
      <c r="J104" s="207" t="s">
        <v>323</v>
      </c>
      <c r="K104" s="207" t="s">
        <v>323</v>
      </c>
      <c r="L104" s="210" t="s">
        <v>1409</v>
      </c>
      <c r="M104" s="207" t="s">
        <v>1313</v>
      </c>
      <c r="N104" s="207" t="s">
        <v>1326</v>
      </c>
      <c r="O104" s="207" t="s">
        <v>1346</v>
      </c>
      <c r="P104" s="207" t="s">
        <v>706</v>
      </c>
      <c r="Q104" s="207" t="s">
        <v>1380</v>
      </c>
      <c r="R104" s="207" t="s">
        <v>1388</v>
      </c>
      <c r="S104" s="207" t="s">
        <v>577</v>
      </c>
      <c r="T104" s="207" t="s">
        <v>489</v>
      </c>
      <c r="U104" s="207" t="s">
        <v>2761</v>
      </c>
      <c r="V104" s="207" t="s">
        <v>2762</v>
      </c>
      <c r="W104" s="207" t="s">
        <v>2763</v>
      </c>
      <c r="X104" s="207" t="s">
        <v>2764</v>
      </c>
      <c r="Y104" s="207" t="s">
        <v>2765</v>
      </c>
      <c r="Z104" s="207"/>
    </row>
    <row r="105" spans="1:26" ht="105">
      <c r="A105" s="206" t="s">
        <v>437</v>
      </c>
      <c r="B105" s="207" t="s">
        <v>437</v>
      </c>
      <c r="C105" s="207" t="s">
        <v>1464</v>
      </c>
      <c r="D105" s="207" t="s">
        <v>2012</v>
      </c>
      <c r="E105" s="208" t="s">
        <v>1556</v>
      </c>
      <c r="F105" s="209" t="s">
        <v>2013</v>
      </c>
      <c r="G105" s="207" t="s">
        <v>2014</v>
      </c>
      <c r="H105" s="207" t="s">
        <v>2015</v>
      </c>
      <c r="I105" s="207" t="s">
        <v>2016</v>
      </c>
      <c r="J105" s="207" t="s">
        <v>437</v>
      </c>
      <c r="K105" s="207" t="s">
        <v>437</v>
      </c>
      <c r="L105" s="210" t="s">
        <v>533</v>
      </c>
      <c r="M105" s="207" t="s">
        <v>423</v>
      </c>
      <c r="N105" s="207" t="s">
        <v>424</v>
      </c>
      <c r="O105" s="207" t="s">
        <v>742</v>
      </c>
      <c r="P105" s="207" t="s">
        <v>707</v>
      </c>
      <c r="Q105" s="207" t="s">
        <v>670</v>
      </c>
      <c r="R105" s="207" t="s">
        <v>627</v>
      </c>
      <c r="S105" s="207" t="s">
        <v>578</v>
      </c>
      <c r="T105" s="207" t="s">
        <v>490</v>
      </c>
      <c r="U105" s="207" t="s">
        <v>2766</v>
      </c>
      <c r="V105" s="207" t="s">
        <v>2767</v>
      </c>
      <c r="W105" s="207" t="s">
        <v>2768</v>
      </c>
      <c r="X105" s="207" t="s">
        <v>2769</v>
      </c>
      <c r="Y105" s="207" t="s">
        <v>2770</v>
      </c>
      <c r="Z105" s="207"/>
    </row>
    <row r="106" spans="1:26" ht="17.25">
      <c r="A106" s="206"/>
      <c r="B106" s="207"/>
      <c r="C106" s="207"/>
      <c r="D106" s="207"/>
      <c r="E106" s="208"/>
      <c r="F106" s="209"/>
      <c r="G106" s="207"/>
      <c r="H106" s="207"/>
      <c r="I106" s="207"/>
      <c r="J106" s="207"/>
      <c r="K106" s="207"/>
      <c r="L106" s="210"/>
      <c r="M106" s="207"/>
      <c r="N106" s="207"/>
      <c r="O106" s="207"/>
      <c r="P106" s="207"/>
      <c r="Q106" s="207"/>
      <c r="R106" s="207"/>
      <c r="S106" s="207"/>
      <c r="T106" s="207"/>
      <c r="U106" s="207"/>
      <c r="V106" s="207"/>
      <c r="W106" s="207"/>
      <c r="X106" s="207"/>
      <c r="Y106" s="207"/>
      <c r="Z106" s="207"/>
    </row>
    <row r="107" spans="1:26" ht="60">
      <c r="A107" s="206" t="s">
        <v>311</v>
      </c>
      <c r="B107" s="207" t="s">
        <v>311</v>
      </c>
      <c r="C107" s="207" t="s">
        <v>1465</v>
      </c>
      <c r="D107" s="207" t="s">
        <v>2017</v>
      </c>
      <c r="E107" s="208" t="s">
        <v>1557</v>
      </c>
      <c r="F107" s="209" t="s">
        <v>2018</v>
      </c>
      <c r="G107" s="207" t="s">
        <v>2019</v>
      </c>
      <c r="H107" s="207" t="s">
        <v>2020</v>
      </c>
      <c r="I107" s="207" t="s">
        <v>2021</v>
      </c>
      <c r="J107" s="207" t="s">
        <v>311</v>
      </c>
      <c r="K107" s="207" t="s">
        <v>311</v>
      </c>
      <c r="L107" s="210" t="s">
        <v>534</v>
      </c>
      <c r="M107" s="207" t="s">
        <v>362</v>
      </c>
      <c r="N107" s="207" t="s">
        <v>399</v>
      </c>
      <c r="O107" s="207" t="s">
        <v>743</v>
      </c>
      <c r="P107" s="207" t="s">
        <v>1368</v>
      </c>
      <c r="Q107" s="207" t="s">
        <v>671</v>
      </c>
      <c r="R107" s="207" t="s">
        <v>628</v>
      </c>
      <c r="S107" s="207" t="s">
        <v>579</v>
      </c>
      <c r="T107" s="207" t="s">
        <v>491</v>
      </c>
      <c r="U107" s="207" t="s">
        <v>2771</v>
      </c>
      <c r="V107" s="207" t="s">
        <v>2772</v>
      </c>
      <c r="W107" s="207" t="s">
        <v>2773</v>
      </c>
      <c r="X107" s="207" t="s">
        <v>2774</v>
      </c>
      <c r="Y107" s="207" t="s">
        <v>2775</v>
      </c>
      <c r="Z107" s="207"/>
    </row>
    <row r="108" spans="1:26" ht="75">
      <c r="A108" s="206" t="s">
        <v>438</v>
      </c>
      <c r="B108" s="207" t="s">
        <v>438</v>
      </c>
      <c r="C108" s="207" t="s">
        <v>1466</v>
      </c>
      <c r="D108" s="207" t="s">
        <v>2022</v>
      </c>
      <c r="E108" s="208" t="s">
        <v>1558</v>
      </c>
      <c r="F108" s="209" t="s">
        <v>2023</v>
      </c>
      <c r="G108" s="207" t="s">
        <v>2024</v>
      </c>
      <c r="H108" s="207" t="s">
        <v>2025</v>
      </c>
      <c r="I108" s="207" t="s">
        <v>2026</v>
      </c>
      <c r="J108" s="207" t="s">
        <v>438</v>
      </c>
      <c r="K108" s="207" t="s">
        <v>438</v>
      </c>
      <c r="L108" s="210" t="s">
        <v>535</v>
      </c>
      <c r="M108" s="207" t="s">
        <v>363</v>
      </c>
      <c r="N108" s="207" t="s">
        <v>400</v>
      </c>
      <c r="O108" s="207" t="s">
        <v>744</v>
      </c>
      <c r="P108" s="207" t="s">
        <v>708</v>
      </c>
      <c r="Q108" s="207" t="s">
        <v>672</v>
      </c>
      <c r="R108" s="207" t="s">
        <v>629</v>
      </c>
      <c r="S108" s="207" t="s">
        <v>580</v>
      </c>
      <c r="T108" s="207" t="s">
        <v>492</v>
      </c>
      <c r="U108" s="207" t="s">
        <v>2776</v>
      </c>
      <c r="V108" s="207" t="s">
        <v>2777</v>
      </c>
      <c r="W108" s="207" t="s">
        <v>2778</v>
      </c>
      <c r="X108" s="207" t="s">
        <v>2779</v>
      </c>
      <c r="Y108" s="207" t="s">
        <v>2780</v>
      </c>
      <c r="Z108" s="207"/>
    </row>
    <row r="109" spans="1:26" ht="90">
      <c r="A109" s="206" t="s">
        <v>319</v>
      </c>
      <c r="B109" s="207" t="s">
        <v>319</v>
      </c>
      <c r="C109" s="207" t="s">
        <v>1467</v>
      </c>
      <c r="D109" s="207" t="s">
        <v>2027</v>
      </c>
      <c r="E109" s="208" t="s">
        <v>759</v>
      </c>
      <c r="F109" s="209" t="s">
        <v>2028</v>
      </c>
      <c r="G109" s="207" t="s">
        <v>2029</v>
      </c>
      <c r="H109" s="207" t="s">
        <v>2030</v>
      </c>
      <c r="I109" s="207" t="s">
        <v>2031</v>
      </c>
      <c r="J109" s="207" t="s">
        <v>319</v>
      </c>
      <c r="K109" s="207" t="s">
        <v>319</v>
      </c>
      <c r="L109" s="210" t="s">
        <v>536</v>
      </c>
      <c r="M109" s="207" t="s">
        <v>364</v>
      </c>
      <c r="N109" s="207" t="s">
        <v>401</v>
      </c>
      <c r="O109" s="207" t="s">
        <v>745</v>
      </c>
      <c r="P109" s="207" t="s">
        <v>709</v>
      </c>
      <c r="Q109" s="207" t="s">
        <v>673</v>
      </c>
      <c r="R109" s="207" t="s">
        <v>630</v>
      </c>
      <c r="S109" s="207" t="s">
        <v>581</v>
      </c>
      <c r="T109" s="207" t="s">
        <v>493</v>
      </c>
      <c r="U109" s="207" t="s">
        <v>2781</v>
      </c>
      <c r="V109" s="207" t="s">
        <v>2782</v>
      </c>
      <c r="W109" s="207" t="s">
        <v>2783</v>
      </c>
      <c r="X109" s="207" t="s">
        <v>2784</v>
      </c>
      <c r="Y109" s="207" t="s">
        <v>2785</v>
      </c>
      <c r="Z109" s="207"/>
    </row>
    <row r="110" spans="1:26" ht="150">
      <c r="A110" s="206" t="s">
        <v>439</v>
      </c>
      <c r="B110" s="207" t="s">
        <v>439</v>
      </c>
      <c r="C110" s="207" t="s">
        <v>1299</v>
      </c>
      <c r="D110" s="207" t="s">
        <v>2786</v>
      </c>
      <c r="E110" s="208" t="s">
        <v>1559</v>
      </c>
      <c r="F110" s="209" t="s">
        <v>2032</v>
      </c>
      <c r="G110" s="207" t="s">
        <v>2033</v>
      </c>
      <c r="H110" s="207" t="s">
        <v>2034</v>
      </c>
      <c r="I110" s="207" t="s">
        <v>2035</v>
      </c>
      <c r="J110" s="207" t="s">
        <v>439</v>
      </c>
      <c r="K110" s="207" t="s">
        <v>439</v>
      </c>
      <c r="L110" s="210" t="s">
        <v>1410</v>
      </c>
      <c r="M110" s="207" t="s">
        <v>1314</v>
      </c>
      <c r="N110" s="207" t="s">
        <v>402</v>
      </c>
      <c r="O110" s="207" t="s">
        <v>746</v>
      </c>
      <c r="P110" s="207" t="s">
        <v>710</v>
      </c>
      <c r="Q110" s="207" t="s">
        <v>674</v>
      </c>
      <c r="R110" s="207" t="s">
        <v>1389</v>
      </c>
      <c r="S110" s="207" t="s">
        <v>1400</v>
      </c>
      <c r="T110" s="207" t="s">
        <v>494</v>
      </c>
      <c r="U110" s="207" t="s">
        <v>2787</v>
      </c>
      <c r="V110" s="207" t="s">
        <v>2788</v>
      </c>
      <c r="W110" s="207" t="s">
        <v>2789</v>
      </c>
      <c r="X110" s="207" t="s">
        <v>2790</v>
      </c>
      <c r="Y110" s="207" t="s">
        <v>2791</v>
      </c>
      <c r="Z110" s="207"/>
    </row>
    <row r="111" spans="1:26" ht="90">
      <c r="A111" s="206" t="s">
        <v>320</v>
      </c>
      <c r="B111" s="207" t="s">
        <v>320</v>
      </c>
      <c r="C111" s="207" t="s">
        <v>332</v>
      </c>
      <c r="D111" s="207" t="s">
        <v>2792</v>
      </c>
      <c r="E111" s="208" t="s">
        <v>760</v>
      </c>
      <c r="F111" s="209" t="s">
        <v>2036</v>
      </c>
      <c r="G111" s="207" t="s">
        <v>2037</v>
      </c>
      <c r="H111" s="207" t="s">
        <v>2038</v>
      </c>
      <c r="I111" s="207" t="s">
        <v>2039</v>
      </c>
      <c r="J111" s="207" t="s">
        <v>320</v>
      </c>
      <c r="K111" s="207" t="s">
        <v>320</v>
      </c>
      <c r="L111" s="210" t="s">
        <v>537</v>
      </c>
      <c r="M111" s="207" t="s">
        <v>365</v>
      </c>
      <c r="N111" s="207" t="s">
        <v>403</v>
      </c>
      <c r="O111" s="207" t="s">
        <v>747</v>
      </c>
      <c r="P111" s="207" t="s">
        <v>711</v>
      </c>
      <c r="Q111" s="207" t="s">
        <v>675</v>
      </c>
      <c r="R111" s="207" t="s">
        <v>631</v>
      </c>
      <c r="S111" s="207" t="s">
        <v>582</v>
      </c>
      <c r="T111" s="207" t="s">
        <v>495</v>
      </c>
      <c r="U111" s="207" t="s">
        <v>2793</v>
      </c>
      <c r="V111" s="207" t="s">
        <v>2794</v>
      </c>
      <c r="W111" s="207" t="s">
        <v>2795</v>
      </c>
      <c r="X111" s="207" t="s">
        <v>2796</v>
      </c>
      <c r="Y111" s="207" t="s">
        <v>2797</v>
      </c>
      <c r="Z111" s="207"/>
    </row>
    <row r="112" spans="1:26" ht="17.25">
      <c r="A112" s="206"/>
      <c r="B112" s="207"/>
      <c r="C112" s="207"/>
      <c r="D112" s="207"/>
      <c r="E112" s="208"/>
      <c r="F112" s="209"/>
      <c r="G112" s="207"/>
      <c r="H112" s="207"/>
      <c r="I112" s="207"/>
      <c r="J112" s="207"/>
      <c r="K112" s="207"/>
      <c r="L112" s="210"/>
      <c r="M112" s="207"/>
      <c r="N112" s="207"/>
      <c r="O112" s="207"/>
      <c r="P112" s="207"/>
      <c r="Q112" s="207"/>
      <c r="R112" s="207"/>
      <c r="S112" s="207"/>
      <c r="T112" s="207"/>
      <c r="U112" s="207"/>
      <c r="V112" s="207"/>
      <c r="W112" s="207"/>
      <c r="X112" s="207"/>
      <c r="Y112" s="207"/>
      <c r="Z112" s="207"/>
    </row>
    <row r="113" spans="1:26" ht="17.25">
      <c r="A113" s="206" t="s">
        <v>324</v>
      </c>
      <c r="B113" s="207" t="s">
        <v>324</v>
      </c>
      <c r="C113" s="207" t="s">
        <v>333</v>
      </c>
      <c r="D113" s="207" t="s">
        <v>2040</v>
      </c>
      <c r="E113" s="208" t="s">
        <v>761</v>
      </c>
      <c r="F113" s="209" t="s">
        <v>2041</v>
      </c>
      <c r="G113" s="207" t="s">
        <v>2042</v>
      </c>
      <c r="H113" s="207" t="s">
        <v>2043</v>
      </c>
      <c r="I113" s="207" t="s">
        <v>2044</v>
      </c>
      <c r="J113" s="207" t="s">
        <v>324</v>
      </c>
      <c r="K113" s="207" t="s">
        <v>324</v>
      </c>
      <c r="L113" s="210" t="s">
        <v>538</v>
      </c>
      <c r="M113" s="207" t="s">
        <v>366</v>
      </c>
      <c r="N113" s="207" t="s">
        <v>404</v>
      </c>
      <c r="O113" s="207" t="s">
        <v>748</v>
      </c>
      <c r="P113" s="207" t="s">
        <v>712</v>
      </c>
      <c r="Q113" s="207" t="s">
        <v>676</v>
      </c>
      <c r="R113" s="207" t="s">
        <v>632</v>
      </c>
      <c r="S113" s="207" t="s">
        <v>583</v>
      </c>
      <c r="T113" s="207" t="s">
        <v>496</v>
      </c>
      <c r="U113" s="207" t="s">
        <v>2798</v>
      </c>
      <c r="V113" s="207" t="s">
        <v>2799</v>
      </c>
      <c r="W113" s="207" t="s">
        <v>2800</v>
      </c>
      <c r="X113" s="207" t="s">
        <v>2801</v>
      </c>
      <c r="Y113" s="207" t="s">
        <v>2802</v>
      </c>
      <c r="Z113" s="207"/>
    </row>
    <row r="114" spans="1:26" ht="17.25">
      <c r="A114" s="206" t="s">
        <v>325</v>
      </c>
      <c r="B114" s="207" t="s">
        <v>325</v>
      </c>
      <c r="C114" s="207" t="s">
        <v>334</v>
      </c>
      <c r="D114" s="207" t="s">
        <v>2045</v>
      </c>
      <c r="E114" s="208" t="s">
        <v>762</v>
      </c>
      <c r="F114" s="209" t="s">
        <v>2046</v>
      </c>
      <c r="G114" s="207" t="s">
        <v>2047</v>
      </c>
      <c r="H114" s="207" t="s">
        <v>2048</v>
      </c>
      <c r="I114" s="207" t="s">
        <v>2049</v>
      </c>
      <c r="J114" s="207" t="s">
        <v>325</v>
      </c>
      <c r="K114" s="207" t="s">
        <v>325</v>
      </c>
      <c r="L114" s="210" t="s">
        <v>539</v>
      </c>
      <c r="M114" s="207" t="s">
        <v>367</v>
      </c>
      <c r="N114" s="207" t="s">
        <v>405</v>
      </c>
      <c r="O114" s="207" t="s">
        <v>749</v>
      </c>
      <c r="P114" s="207" t="s">
        <v>713</v>
      </c>
      <c r="Q114" s="207" t="s">
        <v>677</v>
      </c>
      <c r="R114" s="207" t="s">
        <v>633</v>
      </c>
      <c r="S114" s="207" t="s">
        <v>584</v>
      </c>
      <c r="T114" s="207" t="s">
        <v>497</v>
      </c>
      <c r="U114" s="207" t="s">
        <v>2676</v>
      </c>
      <c r="V114" s="207" t="s">
        <v>2803</v>
      </c>
      <c r="W114" s="207" t="s">
        <v>2804</v>
      </c>
      <c r="X114" s="207" t="s">
        <v>2805</v>
      </c>
      <c r="Y114" s="207" t="s">
        <v>2806</v>
      </c>
      <c r="Z114" s="207"/>
    </row>
    <row r="115" spans="1:26" ht="60">
      <c r="A115" s="206" t="s">
        <v>312</v>
      </c>
      <c r="B115" s="207" t="s">
        <v>312</v>
      </c>
      <c r="C115" s="207" t="s">
        <v>1468</v>
      </c>
      <c r="D115" s="207" t="s">
        <v>2050</v>
      </c>
      <c r="E115" s="208" t="s">
        <v>1560</v>
      </c>
      <c r="F115" s="209" t="s">
        <v>2051</v>
      </c>
      <c r="G115" s="207" t="s">
        <v>2052</v>
      </c>
      <c r="H115" s="207" t="s">
        <v>2053</v>
      </c>
      <c r="I115" s="207" t="s">
        <v>2054</v>
      </c>
      <c r="J115" s="207" t="s">
        <v>312</v>
      </c>
      <c r="K115" s="207" t="s">
        <v>312</v>
      </c>
      <c r="L115" s="210" t="s">
        <v>540</v>
      </c>
      <c r="M115" s="207" t="s">
        <v>368</v>
      </c>
      <c r="N115" s="207" t="s">
        <v>406</v>
      </c>
      <c r="O115" s="207" t="s">
        <v>750</v>
      </c>
      <c r="P115" s="207" t="s">
        <v>714</v>
      </c>
      <c r="Q115" s="207" t="s">
        <v>678</v>
      </c>
      <c r="R115" s="207" t="s">
        <v>634</v>
      </c>
      <c r="S115" s="207" t="s">
        <v>585</v>
      </c>
      <c r="T115" s="207" t="s">
        <v>498</v>
      </c>
      <c r="U115" s="207" t="s">
        <v>2807</v>
      </c>
      <c r="V115" s="207" t="s">
        <v>2808</v>
      </c>
      <c r="W115" s="207" t="s">
        <v>2809</v>
      </c>
      <c r="X115" s="207" t="s">
        <v>2810</v>
      </c>
      <c r="Y115" s="207" t="s">
        <v>2811</v>
      </c>
      <c r="Z115" s="207"/>
    </row>
    <row r="116" spans="1:26" ht="60">
      <c r="A116" s="206" t="s">
        <v>440</v>
      </c>
      <c r="B116" s="207" t="s">
        <v>440</v>
      </c>
      <c r="C116" s="207" t="s">
        <v>335</v>
      </c>
      <c r="D116" s="207" t="s">
        <v>2055</v>
      </c>
      <c r="E116" s="208" t="s">
        <v>1561</v>
      </c>
      <c r="F116" s="209" t="s">
        <v>2056</v>
      </c>
      <c r="G116" s="207" t="s">
        <v>2057</v>
      </c>
      <c r="H116" s="207" t="s">
        <v>2058</v>
      </c>
      <c r="I116" s="207" t="s">
        <v>2059</v>
      </c>
      <c r="J116" s="207" t="s">
        <v>440</v>
      </c>
      <c r="K116" s="207" t="s">
        <v>440</v>
      </c>
      <c r="L116" s="210" t="s">
        <v>541</v>
      </c>
      <c r="M116" s="207" t="s">
        <v>369</v>
      </c>
      <c r="N116" s="207" t="s">
        <v>407</v>
      </c>
      <c r="O116" s="207" t="s">
        <v>751</v>
      </c>
      <c r="P116" s="207" t="s">
        <v>715</v>
      </c>
      <c r="Q116" s="207" t="s">
        <v>679</v>
      </c>
      <c r="R116" s="207" t="s">
        <v>635</v>
      </c>
      <c r="S116" s="207" t="s">
        <v>586</v>
      </c>
      <c r="T116" s="207" t="s">
        <v>499</v>
      </c>
      <c r="U116" s="207" t="s">
        <v>2812</v>
      </c>
      <c r="V116" s="207" t="s">
        <v>2813</v>
      </c>
      <c r="W116" s="207" t="s">
        <v>2814</v>
      </c>
      <c r="X116" s="207" t="s">
        <v>2815</v>
      </c>
      <c r="Y116" s="207" t="s">
        <v>2816</v>
      </c>
      <c r="Z116" s="207"/>
    </row>
    <row r="117" spans="1:26" ht="75">
      <c r="A117" s="206" t="s">
        <v>313</v>
      </c>
      <c r="B117" s="207" t="s">
        <v>313</v>
      </c>
      <c r="C117" s="207" t="s">
        <v>1469</v>
      </c>
      <c r="D117" s="207" t="s">
        <v>593</v>
      </c>
      <c r="E117" s="208" t="s">
        <v>1562</v>
      </c>
      <c r="F117" s="209" t="s">
        <v>2060</v>
      </c>
      <c r="G117" s="207" t="s">
        <v>2061</v>
      </c>
      <c r="H117" s="207" t="s">
        <v>2062</v>
      </c>
      <c r="I117" s="207" t="s">
        <v>2063</v>
      </c>
      <c r="J117" s="207" t="s">
        <v>313</v>
      </c>
      <c r="K117" s="207" t="s">
        <v>313</v>
      </c>
      <c r="L117" s="210" t="s">
        <v>542</v>
      </c>
      <c r="M117" s="207" t="s">
        <v>370</v>
      </c>
      <c r="N117" s="207" t="s">
        <v>408</v>
      </c>
      <c r="O117" s="207" t="s">
        <v>752</v>
      </c>
      <c r="P117" s="207" t="s">
        <v>1369</v>
      </c>
      <c r="Q117" s="207" t="s">
        <v>680</v>
      </c>
      <c r="R117" s="207" t="s">
        <v>636</v>
      </c>
      <c r="S117" s="207" t="s">
        <v>587</v>
      </c>
      <c r="T117" s="207" t="s">
        <v>500</v>
      </c>
      <c r="U117" s="207" t="s">
        <v>2817</v>
      </c>
      <c r="V117" s="207" t="s">
        <v>2818</v>
      </c>
      <c r="W117" s="207" t="s">
        <v>2819</v>
      </c>
      <c r="X117" s="207" t="s">
        <v>2820</v>
      </c>
      <c r="Y117" s="207" t="s">
        <v>2821</v>
      </c>
      <c r="Z117" s="207"/>
    </row>
    <row r="118" spans="1:26" ht="105">
      <c r="A118" s="206" t="s">
        <v>441</v>
      </c>
      <c r="B118" s="207" t="s">
        <v>441</v>
      </c>
      <c r="C118" s="207" t="s">
        <v>1470</v>
      </c>
      <c r="D118" s="207" t="s">
        <v>2064</v>
      </c>
      <c r="E118" s="208" t="s">
        <v>1563</v>
      </c>
      <c r="F118" s="209" t="s">
        <v>2065</v>
      </c>
      <c r="G118" s="207" t="s">
        <v>2066</v>
      </c>
      <c r="H118" s="207" t="s">
        <v>2067</v>
      </c>
      <c r="I118" s="207" t="s">
        <v>2068</v>
      </c>
      <c r="J118" s="207" t="s">
        <v>441</v>
      </c>
      <c r="K118" s="207" t="s">
        <v>441</v>
      </c>
      <c r="L118" s="210" t="s">
        <v>543</v>
      </c>
      <c r="M118" s="207" t="s">
        <v>371</v>
      </c>
      <c r="N118" s="207" t="s">
        <v>409</v>
      </c>
      <c r="O118" s="207" t="s">
        <v>1347</v>
      </c>
      <c r="P118" s="207" t="s">
        <v>716</v>
      </c>
      <c r="Q118" s="207" t="s">
        <v>681</v>
      </c>
      <c r="R118" s="207" t="s">
        <v>637</v>
      </c>
      <c r="S118" s="207" t="s">
        <v>588</v>
      </c>
      <c r="T118" s="207" t="s">
        <v>501</v>
      </c>
      <c r="U118" s="207" t="s">
        <v>2822</v>
      </c>
      <c r="V118" s="207" t="s">
        <v>2823</v>
      </c>
      <c r="W118" s="207" t="s">
        <v>2824</v>
      </c>
      <c r="X118" s="207" t="s">
        <v>2825</v>
      </c>
      <c r="Y118" s="207" t="s">
        <v>2826</v>
      </c>
      <c r="Z118" s="207"/>
    </row>
    <row r="119" spans="1:26" ht="17.25">
      <c r="A119" s="206"/>
      <c r="B119" s="207"/>
      <c r="C119" s="207"/>
      <c r="D119" s="207"/>
      <c r="E119" s="208"/>
      <c r="F119" s="209"/>
      <c r="G119" s="207"/>
      <c r="H119" s="207"/>
      <c r="I119" s="207"/>
      <c r="J119" s="207"/>
      <c r="K119" s="207"/>
      <c r="L119" s="210"/>
      <c r="M119" s="207"/>
      <c r="N119" s="207"/>
      <c r="O119" s="207"/>
      <c r="P119" s="207"/>
      <c r="Q119" s="207"/>
      <c r="R119" s="207"/>
      <c r="S119" s="207"/>
      <c r="T119" s="207"/>
      <c r="U119" s="207"/>
      <c r="V119" s="207"/>
      <c r="W119" s="207"/>
      <c r="X119" s="207"/>
      <c r="Y119" s="207"/>
      <c r="Z119" s="207"/>
    </row>
    <row r="120" spans="1:26" ht="17.25">
      <c r="A120" s="206"/>
      <c r="B120" s="207"/>
      <c r="C120" s="207"/>
      <c r="D120" s="207"/>
      <c r="E120" s="208"/>
      <c r="F120" s="209"/>
      <c r="G120" s="207"/>
      <c r="H120" s="207"/>
      <c r="I120" s="207"/>
      <c r="J120" s="207"/>
      <c r="K120" s="207"/>
      <c r="L120" s="210"/>
      <c r="M120" s="207"/>
      <c r="N120" s="207"/>
      <c r="O120" s="207"/>
      <c r="P120" s="207"/>
      <c r="Q120" s="207"/>
      <c r="R120" s="207"/>
      <c r="S120" s="207"/>
      <c r="T120" s="207"/>
      <c r="U120" s="207"/>
      <c r="V120" s="207"/>
      <c r="W120" s="207"/>
      <c r="X120" s="207"/>
      <c r="Y120" s="207"/>
      <c r="Z120" s="207"/>
    </row>
    <row r="121" spans="1:26" ht="30">
      <c r="A121" s="206" t="s">
        <v>798</v>
      </c>
      <c r="B121" s="207" t="s">
        <v>798</v>
      </c>
      <c r="C121" s="207" t="s">
        <v>1471</v>
      </c>
      <c r="D121" s="207" t="s">
        <v>2069</v>
      </c>
      <c r="E121" s="208" t="s">
        <v>962</v>
      </c>
      <c r="F121" s="209" t="s">
        <v>2070</v>
      </c>
      <c r="G121" s="207" t="s">
        <v>2071</v>
      </c>
      <c r="H121" s="207" t="s">
        <v>2072</v>
      </c>
      <c r="I121" s="207" t="s">
        <v>2073</v>
      </c>
      <c r="J121" s="207" t="s">
        <v>798</v>
      </c>
      <c r="K121" s="207" t="s">
        <v>798</v>
      </c>
      <c r="L121" s="210" t="s">
        <v>1197</v>
      </c>
      <c r="M121" s="207" t="s">
        <v>864</v>
      </c>
      <c r="N121" s="207" t="s">
        <v>920</v>
      </c>
      <c r="O121" s="207" t="s">
        <v>968</v>
      </c>
      <c r="P121" s="207" t="s">
        <v>1013</v>
      </c>
      <c r="Q121" s="207" t="s">
        <v>1056</v>
      </c>
      <c r="R121" s="207" t="s">
        <v>1099</v>
      </c>
      <c r="S121" s="207" t="s">
        <v>1155</v>
      </c>
      <c r="T121" s="207" t="s">
        <v>1250</v>
      </c>
      <c r="U121" s="207" t="s">
        <v>2827</v>
      </c>
      <c r="V121" s="207" t="s">
        <v>2828</v>
      </c>
      <c r="W121" s="207" t="s">
        <v>2829</v>
      </c>
      <c r="X121" s="207" t="s">
        <v>2830</v>
      </c>
      <c r="Y121" s="207" t="s">
        <v>2831</v>
      </c>
      <c r="Z121" s="207"/>
    </row>
    <row r="122" spans="1:26" ht="34.5">
      <c r="A122" s="218" t="s">
        <v>803</v>
      </c>
      <c r="B122" s="221" t="s">
        <v>803</v>
      </c>
      <c r="C122" s="221" t="s">
        <v>851</v>
      </c>
      <c r="D122" s="221" t="s">
        <v>1141</v>
      </c>
      <c r="E122" s="222" t="s">
        <v>1564</v>
      </c>
      <c r="F122" s="223" t="s">
        <v>2074</v>
      </c>
      <c r="G122" s="221" t="s">
        <v>2075</v>
      </c>
      <c r="H122" s="221" t="s">
        <v>2076</v>
      </c>
      <c r="I122" s="221" t="s">
        <v>2077</v>
      </c>
      <c r="J122" s="221" t="s">
        <v>803</v>
      </c>
      <c r="K122" s="221" t="s">
        <v>803</v>
      </c>
      <c r="L122" s="224" t="s">
        <v>1198</v>
      </c>
      <c r="M122" s="221" t="s">
        <v>865</v>
      </c>
      <c r="N122" s="221" t="s">
        <v>921</v>
      </c>
      <c r="O122" s="221" t="s">
        <v>969</v>
      </c>
      <c r="P122" s="221" t="s">
        <v>1014</v>
      </c>
      <c r="Q122" s="221" t="s">
        <v>1057</v>
      </c>
      <c r="R122" s="221" t="s">
        <v>1100</v>
      </c>
      <c r="S122" s="221" t="s">
        <v>1156</v>
      </c>
      <c r="T122" s="221" t="s">
        <v>1251</v>
      </c>
      <c r="U122" s="221" t="s">
        <v>2832</v>
      </c>
      <c r="V122" s="221" t="s">
        <v>2833</v>
      </c>
      <c r="W122" s="221" t="s">
        <v>2834</v>
      </c>
      <c r="X122" s="221" t="s">
        <v>2835</v>
      </c>
      <c r="Y122" s="221" t="s">
        <v>2836</v>
      </c>
      <c r="Z122" s="221"/>
    </row>
    <row r="123" spans="1:26" ht="30">
      <c r="A123" s="196" t="s">
        <v>795</v>
      </c>
      <c r="B123" s="197" t="s">
        <v>795</v>
      </c>
      <c r="C123" s="197" t="s">
        <v>1472</v>
      </c>
      <c r="D123" s="197" t="s">
        <v>1142</v>
      </c>
      <c r="E123" s="198" t="s">
        <v>963</v>
      </c>
      <c r="F123" s="199" t="s">
        <v>2078</v>
      </c>
      <c r="G123" s="197" t="s">
        <v>2079</v>
      </c>
      <c r="H123" s="197" t="s">
        <v>2080</v>
      </c>
      <c r="I123" s="197" t="s">
        <v>2081</v>
      </c>
      <c r="J123" s="197" t="s">
        <v>795</v>
      </c>
      <c r="K123" s="197" t="s">
        <v>795</v>
      </c>
      <c r="L123" s="200" t="s">
        <v>1199</v>
      </c>
      <c r="M123" s="197" t="s">
        <v>866</v>
      </c>
      <c r="N123" s="197" t="s">
        <v>922</v>
      </c>
      <c r="O123" s="197" t="s">
        <v>970</v>
      </c>
      <c r="P123" s="197" t="s">
        <v>1015</v>
      </c>
      <c r="Q123" s="197" t="s">
        <v>1058</v>
      </c>
      <c r="R123" s="197" t="s">
        <v>1101</v>
      </c>
      <c r="S123" s="197" t="s">
        <v>1157</v>
      </c>
      <c r="T123" s="197" t="s">
        <v>1252</v>
      </c>
      <c r="U123" s="197" t="s">
        <v>2837</v>
      </c>
      <c r="V123" s="197" t="s">
        <v>2838</v>
      </c>
      <c r="W123" s="197" t="s">
        <v>2839</v>
      </c>
      <c r="X123" s="197" t="s">
        <v>2840</v>
      </c>
      <c r="Y123" s="197" t="s">
        <v>2841</v>
      </c>
      <c r="Z123" s="197"/>
    </row>
    <row r="124" spans="1:26" ht="105">
      <c r="A124" s="201" t="s">
        <v>796</v>
      </c>
      <c r="B124" s="202" t="s">
        <v>796</v>
      </c>
      <c r="C124" s="202" t="s">
        <v>1473</v>
      </c>
      <c r="D124" s="202" t="s">
        <v>2082</v>
      </c>
      <c r="E124" s="203" t="s">
        <v>1565</v>
      </c>
      <c r="F124" s="204" t="s">
        <v>2083</v>
      </c>
      <c r="G124" s="202" t="s">
        <v>2084</v>
      </c>
      <c r="H124" s="202" t="s">
        <v>2085</v>
      </c>
      <c r="I124" s="202" t="s">
        <v>2086</v>
      </c>
      <c r="J124" s="202" t="s">
        <v>796</v>
      </c>
      <c r="K124" s="202" t="s">
        <v>796</v>
      </c>
      <c r="L124" s="205" t="s">
        <v>1200</v>
      </c>
      <c r="M124" s="202" t="s">
        <v>867</v>
      </c>
      <c r="N124" s="202" t="s">
        <v>923</v>
      </c>
      <c r="O124" s="202" t="s">
        <v>971</v>
      </c>
      <c r="P124" s="202" t="s">
        <v>1016</v>
      </c>
      <c r="Q124" s="202" t="s">
        <v>1059</v>
      </c>
      <c r="R124" s="202" t="s">
        <v>1102</v>
      </c>
      <c r="S124" s="202" t="s">
        <v>1158</v>
      </c>
      <c r="T124" s="202" t="s">
        <v>1253</v>
      </c>
      <c r="U124" s="202" t="s">
        <v>2842</v>
      </c>
      <c r="V124" s="202" t="s">
        <v>2843</v>
      </c>
      <c r="W124" s="202" t="s">
        <v>2844</v>
      </c>
      <c r="X124" s="202" t="s">
        <v>2845</v>
      </c>
      <c r="Y124" s="202" t="s">
        <v>2846</v>
      </c>
      <c r="Z124" s="202"/>
    </row>
    <row r="125" spans="1:26" ht="17.25">
      <c r="A125" s="206" t="s">
        <v>800</v>
      </c>
      <c r="B125" s="207" t="s">
        <v>800</v>
      </c>
      <c r="C125" s="207" t="s">
        <v>800</v>
      </c>
      <c r="D125" s="207" t="s">
        <v>800</v>
      </c>
      <c r="E125" s="208" t="s">
        <v>1566</v>
      </c>
      <c r="F125" s="209" t="s">
        <v>2087</v>
      </c>
      <c r="G125" s="207" t="s">
        <v>800</v>
      </c>
      <c r="H125" s="207" t="s">
        <v>800</v>
      </c>
      <c r="I125" s="207" t="s">
        <v>2088</v>
      </c>
      <c r="J125" s="207" t="s">
        <v>800</v>
      </c>
      <c r="K125" s="207" t="s">
        <v>800</v>
      </c>
      <c r="L125" s="210" t="s">
        <v>800</v>
      </c>
      <c r="M125" s="207" t="s">
        <v>868</v>
      </c>
      <c r="N125" s="207" t="s">
        <v>800</v>
      </c>
      <c r="O125" s="207" t="s">
        <v>972</v>
      </c>
      <c r="P125" s="207" t="s">
        <v>800</v>
      </c>
      <c r="Q125" s="207" t="s">
        <v>800</v>
      </c>
      <c r="R125" s="207" t="s">
        <v>800</v>
      </c>
      <c r="S125" s="207" t="s">
        <v>800</v>
      </c>
      <c r="T125" s="207" t="s">
        <v>1254</v>
      </c>
      <c r="U125" s="207" t="s">
        <v>2847</v>
      </c>
      <c r="V125" s="207" t="s">
        <v>2848</v>
      </c>
      <c r="W125" s="207" t="s">
        <v>800</v>
      </c>
      <c r="X125" s="207" t="s">
        <v>2849</v>
      </c>
      <c r="Y125" s="207" t="s">
        <v>2850</v>
      </c>
      <c r="Z125" s="207"/>
    </row>
    <row r="126" spans="1:26" ht="17.25">
      <c r="A126" s="206" t="s">
        <v>802</v>
      </c>
      <c r="B126" s="207" t="s">
        <v>802</v>
      </c>
      <c r="C126" s="207" t="s">
        <v>802</v>
      </c>
      <c r="D126" s="207" t="s">
        <v>802</v>
      </c>
      <c r="E126" s="208" t="s">
        <v>1567</v>
      </c>
      <c r="F126" s="209" t="s">
        <v>2089</v>
      </c>
      <c r="G126" s="207" t="s">
        <v>802</v>
      </c>
      <c r="H126" s="207" t="s">
        <v>802</v>
      </c>
      <c r="I126" s="207" t="s">
        <v>2090</v>
      </c>
      <c r="J126" s="207" t="s">
        <v>802</v>
      </c>
      <c r="K126" s="207" t="s">
        <v>802</v>
      </c>
      <c r="L126" s="210" t="s">
        <v>802</v>
      </c>
      <c r="M126" s="207" t="s">
        <v>869</v>
      </c>
      <c r="N126" s="207" t="s">
        <v>802</v>
      </c>
      <c r="O126" s="207" t="s">
        <v>973</v>
      </c>
      <c r="P126" s="207" t="s">
        <v>802</v>
      </c>
      <c r="Q126" s="207" t="s">
        <v>1098</v>
      </c>
      <c r="R126" s="207" t="s">
        <v>802</v>
      </c>
      <c r="S126" s="207" t="s">
        <v>802</v>
      </c>
      <c r="T126" s="207" t="s">
        <v>1255</v>
      </c>
      <c r="U126" s="207" t="s">
        <v>2851</v>
      </c>
      <c r="V126" s="207" t="s">
        <v>802</v>
      </c>
      <c r="W126" s="207" t="s">
        <v>802</v>
      </c>
      <c r="X126" s="207" t="s">
        <v>2852</v>
      </c>
      <c r="Y126" s="207" t="s">
        <v>2853</v>
      </c>
      <c r="Z126" s="207"/>
    </row>
    <row r="127" spans="1:26" ht="17.25">
      <c r="A127" s="206" t="s">
        <v>839</v>
      </c>
      <c r="B127" s="207" t="s">
        <v>839</v>
      </c>
      <c r="C127" s="207" t="s">
        <v>839</v>
      </c>
      <c r="D127" s="207" t="s">
        <v>839</v>
      </c>
      <c r="E127" s="208" t="s">
        <v>1568</v>
      </c>
      <c r="F127" s="209" t="s">
        <v>2091</v>
      </c>
      <c r="G127" s="207" t="s">
        <v>839</v>
      </c>
      <c r="H127" s="207" t="s">
        <v>839</v>
      </c>
      <c r="I127" s="207" t="s">
        <v>2092</v>
      </c>
      <c r="J127" s="207" t="s">
        <v>839</v>
      </c>
      <c r="K127" s="207" t="s">
        <v>839</v>
      </c>
      <c r="L127" s="210" t="s">
        <v>839</v>
      </c>
      <c r="M127" s="207" t="s">
        <v>870</v>
      </c>
      <c r="N127" s="207" t="s">
        <v>839</v>
      </c>
      <c r="O127" s="207" t="s">
        <v>974</v>
      </c>
      <c r="P127" s="207" t="s">
        <v>1017</v>
      </c>
      <c r="Q127" s="207" t="s">
        <v>802</v>
      </c>
      <c r="R127" s="207" t="s">
        <v>839</v>
      </c>
      <c r="S127" s="207" t="s">
        <v>839</v>
      </c>
      <c r="T127" s="207" t="s">
        <v>1256</v>
      </c>
      <c r="U127" s="207" t="s">
        <v>2854</v>
      </c>
      <c r="V127" s="207" t="s">
        <v>839</v>
      </c>
      <c r="W127" s="207" t="s">
        <v>839</v>
      </c>
      <c r="X127" s="207" t="s">
        <v>2855</v>
      </c>
      <c r="Y127" s="207" t="s">
        <v>2856</v>
      </c>
      <c r="Z127" s="207"/>
    </row>
    <row r="128" spans="1:26" ht="16.5">
      <c r="A128" s="225" t="s">
        <v>840</v>
      </c>
      <c r="B128" s="207" t="s">
        <v>840</v>
      </c>
      <c r="C128" s="207" t="s">
        <v>840</v>
      </c>
      <c r="D128" s="207" t="s">
        <v>840</v>
      </c>
      <c r="E128" s="226">
        <v>1</v>
      </c>
      <c r="F128" s="209">
        <v>1</v>
      </c>
      <c r="G128" s="207">
        <v>1</v>
      </c>
      <c r="H128" s="207">
        <v>1</v>
      </c>
      <c r="I128" s="207" t="s">
        <v>2093</v>
      </c>
      <c r="J128" s="207" t="s">
        <v>840</v>
      </c>
      <c r="K128" s="207" t="s">
        <v>840</v>
      </c>
      <c r="L128" s="210" t="s">
        <v>1201</v>
      </c>
      <c r="M128" s="207" t="s">
        <v>871</v>
      </c>
      <c r="N128" s="207" t="s">
        <v>840</v>
      </c>
      <c r="O128" s="207">
        <v>1</v>
      </c>
      <c r="P128" s="207">
        <v>1</v>
      </c>
      <c r="Q128" s="207" t="s">
        <v>840</v>
      </c>
      <c r="R128" s="207" t="s">
        <v>840</v>
      </c>
      <c r="S128" s="207" t="s">
        <v>840</v>
      </c>
      <c r="T128" s="207" t="s">
        <v>840</v>
      </c>
      <c r="U128" s="207">
        <v>1</v>
      </c>
      <c r="V128" s="207">
        <v>1</v>
      </c>
      <c r="W128" s="207">
        <v>1</v>
      </c>
      <c r="X128" s="207" t="s">
        <v>2857</v>
      </c>
      <c r="Y128" s="207">
        <v>1</v>
      </c>
      <c r="Z128" s="207"/>
    </row>
    <row r="129" spans="1:26" ht="16.5">
      <c r="A129" s="225" t="s">
        <v>841</v>
      </c>
      <c r="B129" s="207" t="s">
        <v>841</v>
      </c>
      <c r="C129" s="207" t="s">
        <v>841</v>
      </c>
      <c r="D129" s="207" t="s">
        <v>841</v>
      </c>
      <c r="E129" s="226">
        <v>2</v>
      </c>
      <c r="F129" s="209">
        <v>2</v>
      </c>
      <c r="G129" s="207">
        <v>2</v>
      </c>
      <c r="H129" s="207">
        <v>2</v>
      </c>
      <c r="I129" s="207" t="s">
        <v>2094</v>
      </c>
      <c r="J129" s="207" t="s">
        <v>841</v>
      </c>
      <c r="K129" s="207" t="s">
        <v>841</v>
      </c>
      <c r="L129" s="210" t="s">
        <v>1202</v>
      </c>
      <c r="M129" s="207" t="s">
        <v>872</v>
      </c>
      <c r="N129" s="207" t="s">
        <v>841</v>
      </c>
      <c r="O129" s="207">
        <v>2</v>
      </c>
      <c r="P129" s="207">
        <v>2</v>
      </c>
      <c r="Q129" s="207" t="s">
        <v>841</v>
      </c>
      <c r="R129" s="207" t="s">
        <v>841</v>
      </c>
      <c r="S129" s="207" t="s">
        <v>841</v>
      </c>
      <c r="T129" s="207" t="s">
        <v>841</v>
      </c>
      <c r="U129" s="207">
        <v>2</v>
      </c>
      <c r="V129" s="207">
        <v>2</v>
      </c>
      <c r="W129" s="207">
        <v>2</v>
      </c>
      <c r="X129" s="207">
        <v>2</v>
      </c>
      <c r="Y129" s="207">
        <v>2</v>
      </c>
      <c r="Z129" s="207"/>
    </row>
    <row r="130" spans="1:26" ht="16.5">
      <c r="A130" s="225" t="s">
        <v>842</v>
      </c>
      <c r="B130" s="207" t="s">
        <v>842</v>
      </c>
      <c r="C130" s="207" t="s">
        <v>842</v>
      </c>
      <c r="D130" s="207" t="s">
        <v>842</v>
      </c>
      <c r="E130" s="226">
        <v>3</v>
      </c>
      <c r="F130" s="209">
        <v>3</v>
      </c>
      <c r="G130" s="207">
        <v>3</v>
      </c>
      <c r="H130" s="207">
        <v>3</v>
      </c>
      <c r="I130" s="207" t="s">
        <v>2095</v>
      </c>
      <c r="J130" s="207" t="s">
        <v>842</v>
      </c>
      <c r="K130" s="207" t="s">
        <v>842</v>
      </c>
      <c r="L130" s="210" t="s">
        <v>1203</v>
      </c>
      <c r="M130" s="207" t="s">
        <v>873</v>
      </c>
      <c r="N130" s="207" t="s">
        <v>842</v>
      </c>
      <c r="O130" s="207">
        <v>3</v>
      </c>
      <c r="P130" s="207">
        <v>3</v>
      </c>
      <c r="Q130" s="207" t="s">
        <v>842</v>
      </c>
      <c r="R130" s="207" t="s">
        <v>842</v>
      </c>
      <c r="S130" s="207" t="s">
        <v>842</v>
      </c>
      <c r="T130" s="207" t="s">
        <v>842</v>
      </c>
      <c r="U130" s="207">
        <v>3</v>
      </c>
      <c r="V130" s="207">
        <v>3</v>
      </c>
      <c r="W130" s="207">
        <v>3</v>
      </c>
      <c r="X130" s="207">
        <v>3</v>
      </c>
      <c r="Y130" s="207">
        <v>3</v>
      </c>
      <c r="Z130" s="207"/>
    </row>
    <row r="131" spans="1:26" ht="16.5">
      <c r="A131" s="225" t="s">
        <v>843</v>
      </c>
      <c r="B131" s="207" t="s">
        <v>843</v>
      </c>
      <c r="C131" s="207" t="s">
        <v>843</v>
      </c>
      <c r="D131" s="207" t="s">
        <v>843</v>
      </c>
      <c r="E131" s="226">
        <v>4</v>
      </c>
      <c r="F131" s="209">
        <v>4</v>
      </c>
      <c r="G131" s="207">
        <v>4</v>
      </c>
      <c r="H131" s="207">
        <v>4</v>
      </c>
      <c r="I131" s="207" t="s">
        <v>2096</v>
      </c>
      <c r="J131" s="207" t="s">
        <v>843</v>
      </c>
      <c r="K131" s="207" t="s">
        <v>843</v>
      </c>
      <c r="L131" s="210" t="s">
        <v>1204</v>
      </c>
      <c r="M131" s="207" t="s">
        <v>874</v>
      </c>
      <c r="N131" s="207" t="s">
        <v>843</v>
      </c>
      <c r="O131" s="207">
        <v>4</v>
      </c>
      <c r="P131" s="207">
        <v>4</v>
      </c>
      <c r="Q131" s="207" t="s">
        <v>843</v>
      </c>
      <c r="R131" s="207" t="s">
        <v>843</v>
      </c>
      <c r="S131" s="207" t="s">
        <v>843</v>
      </c>
      <c r="T131" s="207" t="s">
        <v>843</v>
      </c>
      <c r="U131" s="207">
        <v>4</v>
      </c>
      <c r="V131" s="207">
        <v>4</v>
      </c>
      <c r="W131" s="207">
        <v>4</v>
      </c>
      <c r="X131" s="207">
        <v>4</v>
      </c>
      <c r="Y131" s="207" t="s">
        <v>2473</v>
      </c>
      <c r="Z131" s="207"/>
    </row>
    <row r="132" spans="1:26" ht="16.5">
      <c r="A132" s="225" t="s">
        <v>844</v>
      </c>
      <c r="B132" s="207" t="s">
        <v>844</v>
      </c>
      <c r="C132" s="207" t="s">
        <v>844</v>
      </c>
      <c r="D132" s="207" t="s">
        <v>844</v>
      </c>
      <c r="E132" s="226">
        <v>5</v>
      </c>
      <c r="F132" s="209">
        <v>5</v>
      </c>
      <c r="G132" s="207">
        <v>5</v>
      </c>
      <c r="H132" s="207">
        <v>5</v>
      </c>
      <c r="I132" s="207" t="s">
        <v>2097</v>
      </c>
      <c r="J132" s="207" t="s">
        <v>844</v>
      </c>
      <c r="K132" s="207" t="s">
        <v>844</v>
      </c>
      <c r="L132" s="210" t="s">
        <v>1205</v>
      </c>
      <c r="M132" s="207" t="s">
        <v>875</v>
      </c>
      <c r="N132" s="207" t="s">
        <v>844</v>
      </c>
      <c r="O132" s="207">
        <v>5</v>
      </c>
      <c r="P132" s="207">
        <v>5</v>
      </c>
      <c r="Q132" s="207" t="s">
        <v>844</v>
      </c>
      <c r="R132" s="207" t="s">
        <v>844</v>
      </c>
      <c r="S132" s="207" t="s">
        <v>844</v>
      </c>
      <c r="T132" s="207" t="s">
        <v>844</v>
      </c>
      <c r="U132" s="207">
        <v>5</v>
      </c>
      <c r="V132" s="207">
        <v>5</v>
      </c>
      <c r="W132" s="207">
        <v>5</v>
      </c>
      <c r="X132" s="207">
        <v>5</v>
      </c>
      <c r="Y132" s="207">
        <v>5</v>
      </c>
      <c r="Z132" s="207"/>
    </row>
    <row r="133" spans="1:26" ht="16.5">
      <c r="A133" s="225" t="s">
        <v>845</v>
      </c>
      <c r="B133" s="207" t="s">
        <v>845</v>
      </c>
      <c r="C133" s="207" t="s">
        <v>845</v>
      </c>
      <c r="D133" s="207" t="s">
        <v>845</v>
      </c>
      <c r="E133" s="226">
        <v>6</v>
      </c>
      <c r="F133" s="209">
        <v>6</v>
      </c>
      <c r="G133" s="207">
        <v>6</v>
      </c>
      <c r="H133" s="207">
        <v>6</v>
      </c>
      <c r="I133" s="207" t="s">
        <v>2098</v>
      </c>
      <c r="J133" s="207" t="s">
        <v>845</v>
      </c>
      <c r="K133" s="207" t="s">
        <v>845</v>
      </c>
      <c r="L133" s="210" t="s">
        <v>1206</v>
      </c>
      <c r="M133" s="207" t="s">
        <v>876</v>
      </c>
      <c r="N133" s="207" t="s">
        <v>845</v>
      </c>
      <c r="O133" s="207">
        <v>6</v>
      </c>
      <c r="P133" s="207">
        <v>6</v>
      </c>
      <c r="Q133" s="207" t="s">
        <v>845</v>
      </c>
      <c r="R133" s="207" t="s">
        <v>845</v>
      </c>
      <c r="S133" s="207" t="s">
        <v>845</v>
      </c>
      <c r="T133" s="207" t="s">
        <v>845</v>
      </c>
      <c r="U133" s="207">
        <v>6</v>
      </c>
      <c r="V133" s="207">
        <v>6</v>
      </c>
      <c r="W133" s="207">
        <v>6</v>
      </c>
      <c r="X133" s="207">
        <v>6</v>
      </c>
      <c r="Y133" s="207" t="s">
        <v>2473</v>
      </c>
      <c r="Z133" s="207"/>
    </row>
    <row r="134" spans="1:26" ht="16.5">
      <c r="A134" s="225" t="s">
        <v>846</v>
      </c>
      <c r="B134" s="207" t="s">
        <v>846</v>
      </c>
      <c r="C134" s="207" t="s">
        <v>846</v>
      </c>
      <c r="D134" s="207" t="s">
        <v>846</v>
      </c>
      <c r="E134" s="226">
        <v>7</v>
      </c>
      <c r="F134" s="209">
        <v>7</v>
      </c>
      <c r="G134" s="207">
        <v>7</v>
      </c>
      <c r="H134" s="207">
        <v>7</v>
      </c>
      <c r="I134" s="207" t="s">
        <v>2099</v>
      </c>
      <c r="J134" s="207" t="s">
        <v>846</v>
      </c>
      <c r="K134" s="207" t="s">
        <v>846</v>
      </c>
      <c r="L134" s="210" t="s">
        <v>1207</v>
      </c>
      <c r="M134" s="207" t="s">
        <v>877</v>
      </c>
      <c r="N134" s="207" t="s">
        <v>846</v>
      </c>
      <c r="O134" s="207">
        <v>7</v>
      </c>
      <c r="P134" s="207">
        <v>7</v>
      </c>
      <c r="Q134" s="207" t="s">
        <v>846</v>
      </c>
      <c r="R134" s="207" t="s">
        <v>846</v>
      </c>
      <c r="S134" s="207" t="s">
        <v>846</v>
      </c>
      <c r="T134" s="207" t="s">
        <v>846</v>
      </c>
      <c r="U134" s="207">
        <v>7</v>
      </c>
      <c r="V134" s="207">
        <v>7</v>
      </c>
      <c r="W134" s="207">
        <v>7</v>
      </c>
      <c r="X134" s="207">
        <v>7</v>
      </c>
      <c r="Y134" s="207">
        <v>7</v>
      </c>
      <c r="Z134" s="207"/>
    </row>
    <row r="135" spans="1:26" ht="16.5">
      <c r="A135" s="225" t="s">
        <v>847</v>
      </c>
      <c r="B135" s="207" t="s">
        <v>847</v>
      </c>
      <c r="C135" s="207" t="s">
        <v>847</v>
      </c>
      <c r="D135" s="207" t="s">
        <v>847</v>
      </c>
      <c r="E135" s="226">
        <v>8</v>
      </c>
      <c r="F135" s="209">
        <v>8</v>
      </c>
      <c r="G135" s="207">
        <v>8</v>
      </c>
      <c r="H135" s="207">
        <v>8</v>
      </c>
      <c r="I135" s="207" t="s">
        <v>2100</v>
      </c>
      <c r="J135" s="207" t="s">
        <v>847</v>
      </c>
      <c r="K135" s="207" t="s">
        <v>847</v>
      </c>
      <c r="L135" s="210" t="s">
        <v>1208</v>
      </c>
      <c r="M135" s="207" t="s">
        <v>878</v>
      </c>
      <c r="N135" s="207" t="s">
        <v>847</v>
      </c>
      <c r="O135" s="207">
        <v>8</v>
      </c>
      <c r="P135" s="207">
        <v>8</v>
      </c>
      <c r="Q135" s="207" t="s">
        <v>847</v>
      </c>
      <c r="R135" s="207" t="s">
        <v>847</v>
      </c>
      <c r="S135" s="207" t="s">
        <v>847</v>
      </c>
      <c r="T135" s="207" t="s">
        <v>847</v>
      </c>
      <c r="U135" s="207">
        <v>8</v>
      </c>
      <c r="V135" s="207" t="s">
        <v>2858</v>
      </c>
      <c r="W135" s="207">
        <v>8</v>
      </c>
      <c r="X135" s="207">
        <v>8</v>
      </c>
      <c r="Y135" s="207">
        <v>8</v>
      </c>
      <c r="Z135" s="207"/>
    </row>
    <row r="136" spans="1:26" ht="16.5">
      <c r="A136" s="225" t="s">
        <v>848</v>
      </c>
      <c r="B136" s="207" t="s">
        <v>848</v>
      </c>
      <c r="C136" s="207" t="s">
        <v>848</v>
      </c>
      <c r="D136" s="207" t="s">
        <v>848</v>
      </c>
      <c r="E136" s="226">
        <v>9</v>
      </c>
      <c r="F136" s="209">
        <v>9</v>
      </c>
      <c r="G136" s="207">
        <v>9</v>
      </c>
      <c r="H136" s="207">
        <v>9</v>
      </c>
      <c r="I136" s="207" t="s">
        <v>2101</v>
      </c>
      <c r="J136" s="207" t="s">
        <v>848</v>
      </c>
      <c r="K136" s="207" t="s">
        <v>848</v>
      </c>
      <c r="L136" s="210" t="s">
        <v>1209</v>
      </c>
      <c r="M136" s="207" t="s">
        <v>879</v>
      </c>
      <c r="N136" s="207" t="s">
        <v>848</v>
      </c>
      <c r="O136" s="207">
        <v>9</v>
      </c>
      <c r="P136" s="207">
        <v>9</v>
      </c>
      <c r="Q136" s="207" t="s">
        <v>848</v>
      </c>
      <c r="R136" s="207" t="s">
        <v>848</v>
      </c>
      <c r="S136" s="207" t="s">
        <v>848</v>
      </c>
      <c r="T136" s="207" t="s">
        <v>848</v>
      </c>
      <c r="U136" s="207">
        <v>9</v>
      </c>
      <c r="V136" s="207">
        <v>9</v>
      </c>
      <c r="W136" s="207">
        <v>9</v>
      </c>
      <c r="X136" s="207">
        <v>9</v>
      </c>
      <c r="Y136" s="207">
        <v>9</v>
      </c>
      <c r="Z136" s="207"/>
    </row>
    <row r="137" spans="1:26" ht="16.5">
      <c r="A137" s="225" t="s">
        <v>849</v>
      </c>
      <c r="B137" s="207" t="s">
        <v>849</v>
      </c>
      <c r="C137" s="207" t="s">
        <v>849</v>
      </c>
      <c r="D137" s="207" t="s">
        <v>849</v>
      </c>
      <c r="E137" s="226">
        <v>10</v>
      </c>
      <c r="F137" s="209">
        <v>10</v>
      </c>
      <c r="G137" s="207">
        <v>10</v>
      </c>
      <c r="H137" s="207">
        <v>10</v>
      </c>
      <c r="I137" s="207" t="s">
        <v>2102</v>
      </c>
      <c r="J137" s="207" t="s">
        <v>849</v>
      </c>
      <c r="K137" s="207" t="s">
        <v>849</v>
      </c>
      <c r="L137" s="210" t="s">
        <v>1210</v>
      </c>
      <c r="M137" s="207" t="s">
        <v>880</v>
      </c>
      <c r="N137" s="207" t="s">
        <v>849</v>
      </c>
      <c r="O137" s="207">
        <v>10</v>
      </c>
      <c r="P137" s="207">
        <v>10</v>
      </c>
      <c r="Q137" s="207" t="s">
        <v>849</v>
      </c>
      <c r="R137" s="207" t="s">
        <v>849</v>
      </c>
      <c r="S137" s="207" t="s">
        <v>849</v>
      </c>
      <c r="T137" s="207" t="s">
        <v>849</v>
      </c>
      <c r="U137" s="207">
        <v>10</v>
      </c>
      <c r="V137" s="207">
        <v>10</v>
      </c>
      <c r="W137" s="207">
        <v>10</v>
      </c>
      <c r="X137" s="207">
        <v>10</v>
      </c>
      <c r="Y137" s="207">
        <v>10</v>
      </c>
      <c r="Z137" s="207"/>
    </row>
    <row r="138" spans="1:26" ht="16.5">
      <c r="A138" s="225" t="s">
        <v>850</v>
      </c>
      <c r="B138" s="207" t="s">
        <v>850</v>
      </c>
      <c r="C138" s="207" t="s">
        <v>850</v>
      </c>
      <c r="D138" s="207" t="s">
        <v>850</v>
      </c>
      <c r="E138" s="226">
        <v>11</v>
      </c>
      <c r="F138" s="209">
        <v>11</v>
      </c>
      <c r="G138" s="207">
        <v>11</v>
      </c>
      <c r="H138" s="207">
        <v>11</v>
      </c>
      <c r="I138" s="207" t="s">
        <v>2103</v>
      </c>
      <c r="J138" s="207" t="s">
        <v>850</v>
      </c>
      <c r="K138" s="207" t="s">
        <v>850</v>
      </c>
      <c r="L138" s="210" t="s">
        <v>1211</v>
      </c>
      <c r="M138" s="207" t="s">
        <v>881</v>
      </c>
      <c r="N138" s="207" t="s">
        <v>850</v>
      </c>
      <c r="O138" s="207">
        <v>11</v>
      </c>
      <c r="P138" s="207">
        <v>11</v>
      </c>
      <c r="Q138" s="207" t="s">
        <v>850</v>
      </c>
      <c r="R138" s="207" t="s">
        <v>850</v>
      </c>
      <c r="S138" s="207" t="s">
        <v>850</v>
      </c>
      <c r="T138" s="207" t="s">
        <v>850</v>
      </c>
      <c r="U138" s="207">
        <v>11</v>
      </c>
      <c r="V138" s="207">
        <v>11</v>
      </c>
      <c r="W138" s="207">
        <v>11</v>
      </c>
      <c r="X138" s="207">
        <v>11</v>
      </c>
      <c r="Y138" s="207">
        <v>11</v>
      </c>
      <c r="Z138" s="207"/>
    </row>
    <row r="139" spans="1:26" ht="17.25">
      <c r="A139" s="206" t="s">
        <v>801</v>
      </c>
      <c r="B139" s="207" t="s">
        <v>801</v>
      </c>
      <c r="C139" s="207" t="s">
        <v>852</v>
      </c>
      <c r="D139" s="207" t="s">
        <v>2104</v>
      </c>
      <c r="E139" s="208" t="s">
        <v>1569</v>
      </c>
      <c r="F139" s="209" t="s">
        <v>2105</v>
      </c>
      <c r="G139" s="207" t="s">
        <v>2106</v>
      </c>
      <c r="H139" s="207" t="s">
        <v>2107</v>
      </c>
      <c r="I139" s="207" t="s">
        <v>2108</v>
      </c>
      <c r="J139" s="207" t="s">
        <v>801</v>
      </c>
      <c r="K139" s="207" t="s">
        <v>801</v>
      </c>
      <c r="L139" s="210" t="s">
        <v>1212</v>
      </c>
      <c r="M139" s="207" t="s">
        <v>882</v>
      </c>
      <c r="N139" s="207" t="s">
        <v>924</v>
      </c>
      <c r="O139" s="207" t="s">
        <v>975</v>
      </c>
      <c r="P139" s="207" t="s">
        <v>1018</v>
      </c>
      <c r="Q139" s="207" t="s">
        <v>1060</v>
      </c>
      <c r="R139" s="207" t="s">
        <v>1103</v>
      </c>
      <c r="S139" s="207" t="s">
        <v>1159</v>
      </c>
      <c r="T139" s="207" t="s">
        <v>1257</v>
      </c>
      <c r="U139" s="207" t="s">
        <v>2859</v>
      </c>
      <c r="V139" s="207" t="s">
        <v>2860</v>
      </c>
      <c r="W139" s="207" t="s">
        <v>2861</v>
      </c>
      <c r="X139" s="207" t="s">
        <v>2862</v>
      </c>
      <c r="Y139" s="207" t="s">
        <v>2863</v>
      </c>
      <c r="Z139" s="207"/>
    </row>
    <row r="140" spans="1:26" ht="45">
      <c r="A140" s="206" t="s">
        <v>804</v>
      </c>
      <c r="B140" s="207" t="s">
        <v>804</v>
      </c>
      <c r="C140" s="207" t="s">
        <v>1474</v>
      </c>
      <c r="D140" s="207" t="s">
        <v>2109</v>
      </c>
      <c r="E140" s="208" t="s">
        <v>1570</v>
      </c>
      <c r="F140" s="209" t="s">
        <v>2110</v>
      </c>
      <c r="G140" s="207" t="s">
        <v>2111</v>
      </c>
      <c r="H140" s="207" t="s">
        <v>2112</v>
      </c>
      <c r="I140" s="207" t="s">
        <v>2113</v>
      </c>
      <c r="J140" s="207" t="s">
        <v>804</v>
      </c>
      <c r="K140" s="207" t="s">
        <v>804</v>
      </c>
      <c r="L140" s="210" t="s">
        <v>1213</v>
      </c>
      <c r="M140" s="207" t="s">
        <v>883</v>
      </c>
      <c r="N140" s="207" t="s">
        <v>925</v>
      </c>
      <c r="O140" s="207" t="s">
        <v>976</v>
      </c>
      <c r="P140" s="207" t="s">
        <v>1019</v>
      </c>
      <c r="Q140" s="207" t="s">
        <v>1061</v>
      </c>
      <c r="R140" s="207" t="s">
        <v>1104</v>
      </c>
      <c r="S140" s="207" t="s">
        <v>1160</v>
      </c>
      <c r="T140" s="207" t="s">
        <v>1258</v>
      </c>
      <c r="U140" s="207" t="s">
        <v>2864</v>
      </c>
      <c r="V140" s="207" t="s">
        <v>2865</v>
      </c>
      <c r="W140" s="207" t="s">
        <v>2866</v>
      </c>
      <c r="X140" s="207" t="s">
        <v>2867</v>
      </c>
      <c r="Y140" s="207" t="s">
        <v>2868</v>
      </c>
      <c r="Z140" s="207"/>
    </row>
    <row r="141" spans="1:26" ht="105">
      <c r="A141" s="206" t="s">
        <v>805</v>
      </c>
      <c r="B141" s="207" t="s">
        <v>805</v>
      </c>
      <c r="C141" s="207" t="s">
        <v>1475</v>
      </c>
      <c r="D141" s="207" t="s">
        <v>1143</v>
      </c>
      <c r="E141" s="208" t="s">
        <v>1571</v>
      </c>
      <c r="F141" s="209" t="s">
        <v>2114</v>
      </c>
      <c r="G141" s="207" t="s">
        <v>2115</v>
      </c>
      <c r="H141" s="207" t="s">
        <v>2116</v>
      </c>
      <c r="I141" s="207" t="s">
        <v>2117</v>
      </c>
      <c r="J141" s="207" t="s">
        <v>805</v>
      </c>
      <c r="K141" s="207" t="s">
        <v>805</v>
      </c>
      <c r="L141" s="210" t="s">
        <v>1214</v>
      </c>
      <c r="M141" s="207" t="s">
        <v>884</v>
      </c>
      <c r="N141" s="207" t="s">
        <v>926</v>
      </c>
      <c r="O141" s="207" t="s">
        <v>977</v>
      </c>
      <c r="P141" s="207" t="s">
        <v>1020</v>
      </c>
      <c r="Q141" s="207" t="s">
        <v>1062</v>
      </c>
      <c r="R141" s="207" t="s">
        <v>1105</v>
      </c>
      <c r="S141" s="207" t="s">
        <v>1161</v>
      </c>
      <c r="T141" s="207" t="s">
        <v>1259</v>
      </c>
      <c r="U141" s="207" t="s">
        <v>2869</v>
      </c>
      <c r="V141" s="207" t="s">
        <v>2870</v>
      </c>
      <c r="W141" s="207" t="s">
        <v>2871</v>
      </c>
      <c r="X141" s="207" t="s">
        <v>2872</v>
      </c>
      <c r="Y141" s="207" t="s">
        <v>2873</v>
      </c>
      <c r="Z141" s="207"/>
    </row>
    <row r="142" spans="1:26" ht="120">
      <c r="A142" s="206" t="s">
        <v>806</v>
      </c>
      <c r="B142" s="207" t="s">
        <v>806</v>
      </c>
      <c r="C142" s="207" t="s">
        <v>1476</v>
      </c>
      <c r="D142" s="207" t="s">
        <v>1144</v>
      </c>
      <c r="E142" s="208" t="s">
        <v>1572</v>
      </c>
      <c r="F142" s="209" t="s">
        <v>2118</v>
      </c>
      <c r="G142" s="207" t="s">
        <v>2119</v>
      </c>
      <c r="H142" s="207" t="s">
        <v>2120</v>
      </c>
      <c r="I142" s="207" t="s">
        <v>2121</v>
      </c>
      <c r="J142" s="207" t="s">
        <v>806</v>
      </c>
      <c r="K142" s="207" t="s">
        <v>806</v>
      </c>
      <c r="L142" s="210" t="s">
        <v>1215</v>
      </c>
      <c r="M142" s="207" t="s">
        <v>885</v>
      </c>
      <c r="N142" s="207" t="s">
        <v>927</v>
      </c>
      <c r="O142" s="207" t="s">
        <v>978</v>
      </c>
      <c r="P142" s="207" t="s">
        <v>1021</v>
      </c>
      <c r="Q142" s="207" t="s">
        <v>1063</v>
      </c>
      <c r="R142" s="207" t="s">
        <v>1106</v>
      </c>
      <c r="S142" s="207" t="s">
        <v>1162</v>
      </c>
      <c r="T142" s="207" t="s">
        <v>1260</v>
      </c>
      <c r="U142" s="207" t="s">
        <v>2874</v>
      </c>
      <c r="V142" s="207" t="s">
        <v>2875</v>
      </c>
      <c r="W142" s="207" t="s">
        <v>2876</v>
      </c>
      <c r="X142" s="207" t="s">
        <v>2877</v>
      </c>
      <c r="Y142" s="207" t="s">
        <v>2878</v>
      </c>
      <c r="Z142" s="207"/>
    </row>
    <row r="143" spans="1:26" ht="17.25">
      <c r="A143" s="206" t="s">
        <v>807</v>
      </c>
      <c r="B143" s="207" t="s">
        <v>807</v>
      </c>
      <c r="C143" s="207" t="s">
        <v>853</v>
      </c>
      <c r="D143" s="207" t="s">
        <v>2122</v>
      </c>
      <c r="E143" s="208" t="s">
        <v>1573</v>
      </c>
      <c r="F143" s="209" t="s">
        <v>2123</v>
      </c>
      <c r="G143" s="207" t="s">
        <v>2124</v>
      </c>
      <c r="H143" s="207" t="s">
        <v>2125</v>
      </c>
      <c r="I143" s="207" t="s">
        <v>2126</v>
      </c>
      <c r="J143" s="207" t="s">
        <v>807</v>
      </c>
      <c r="K143" s="207" t="s">
        <v>807</v>
      </c>
      <c r="L143" s="210" t="s">
        <v>1216</v>
      </c>
      <c r="M143" s="207" t="s">
        <v>886</v>
      </c>
      <c r="N143" s="207" t="s">
        <v>928</v>
      </c>
      <c r="O143" s="207" t="s">
        <v>979</v>
      </c>
      <c r="P143" s="207" t="s">
        <v>1022</v>
      </c>
      <c r="Q143" s="207" t="s">
        <v>1064</v>
      </c>
      <c r="R143" s="207" t="s">
        <v>1107</v>
      </c>
      <c r="S143" s="207" t="s">
        <v>1163</v>
      </c>
      <c r="T143" s="207" t="s">
        <v>1261</v>
      </c>
      <c r="U143" s="207" t="s">
        <v>2879</v>
      </c>
      <c r="V143" s="207" t="s">
        <v>2880</v>
      </c>
      <c r="W143" s="207" t="s">
        <v>2881</v>
      </c>
      <c r="X143" s="207" t="s">
        <v>2882</v>
      </c>
      <c r="Y143" s="207" t="s">
        <v>2883</v>
      </c>
      <c r="Z143" s="207"/>
    </row>
    <row r="144" spans="1:26" ht="150">
      <c r="A144" s="206" t="s">
        <v>808</v>
      </c>
      <c r="B144" s="207" t="s">
        <v>808</v>
      </c>
      <c r="C144" s="207" t="s">
        <v>1477</v>
      </c>
      <c r="D144" s="207" t="s">
        <v>2127</v>
      </c>
      <c r="E144" s="208" t="s">
        <v>1574</v>
      </c>
      <c r="F144" s="209" t="s">
        <v>2128</v>
      </c>
      <c r="G144" s="207" t="s">
        <v>2129</v>
      </c>
      <c r="H144" s="207" t="s">
        <v>2130</v>
      </c>
      <c r="I144" s="207" t="s">
        <v>2131</v>
      </c>
      <c r="J144" s="207" t="s">
        <v>808</v>
      </c>
      <c r="K144" s="207" t="s">
        <v>808</v>
      </c>
      <c r="L144" s="210" t="s">
        <v>1217</v>
      </c>
      <c r="M144" s="207" t="s">
        <v>887</v>
      </c>
      <c r="N144" s="207" t="s">
        <v>929</v>
      </c>
      <c r="O144" s="207" t="s">
        <v>980</v>
      </c>
      <c r="P144" s="207" t="s">
        <v>1023</v>
      </c>
      <c r="Q144" s="207" t="s">
        <v>1065</v>
      </c>
      <c r="R144" s="207" t="s">
        <v>1108</v>
      </c>
      <c r="S144" s="207" t="s">
        <v>1164</v>
      </c>
      <c r="T144" s="207" t="s">
        <v>1262</v>
      </c>
      <c r="U144" s="207" t="s">
        <v>2884</v>
      </c>
      <c r="V144" s="207" t="s">
        <v>2885</v>
      </c>
      <c r="W144" s="207" t="s">
        <v>2886</v>
      </c>
      <c r="X144" s="207" t="s">
        <v>2887</v>
      </c>
      <c r="Y144" s="207" t="s">
        <v>2888</v>
      </c>
      <c r="Z144" s="207"/>
    </row>
    <row r="145" spans="1:26" ht="409.5">
      <c r="A145" s="206" t="s">
        <v>809</v>
      </c>
      <c r="B145" s="207" t="s">
        <v>809</v>
      </c>
      <c r="C145" s="207" t="s">
        <v>1478</v>
      </c>
      <c r="D145" s="207" t="s">
        <v>2132</v>
      </c>
      <c r="E145" s="208" t="s">
        <v>1575</v>
      </c>
      <c r="F145" s="209" t="s">
        <v>2133</v>
      </c>
      <c r="G145" s="207" t="s">
        <v>2134</v>
      </c>
      <c r="H145" s="207" t="s">
        <v>2135</v>
      </c>
      <c r="I145" s="207" t="s">
        <v>2136</v>
      </c>
      <c r="J145" s="207" t="s">
        <v>809</v>
      </c>
      <c r="K145" s="207" t="s">
        <v>809</v>
      </c>
      <c r="L145" s="210" t="s">
        <v>1218</v>
      </c>
      <c r="M145" s="207" t="s">
        <v>888</v>
      </c>
      <c r="N145" s="207" t="s">
        <v>930</v>
      </c>
      <c r="O145" s="207" t="s">
        <v>981</v>
      </c>
      <c r="P145" s="207" t="s">
        <v>1024</v>
      </c>
      <c r="Q145" s="207" t="s">
        <v>1066</v>
      </c>
      <c r="R145" s="207" t="s">
        <v>1109</v>
      </c>
      <c r="S145" s="207" t="s">
        <v>1165</v>
      </c>
      <c r="T145" s="207" t="s">
        <v>1263</v>
      </c>
      <c r="U145" s="207" t="s">
        <v>2889</v>
      </c>
      <c r="V145" s="207" t="s">
        <v>2890</v>
      </c>
      <c r="W145" s="207" t="s">
        <v>2891</v>
      </c>
      <c r="X145" s="207" t="s">
        <v>2892</v>
      </c>
      <c r="Y145" s="207" t="s">
        <v>2893</v>
      </c>
      <c r="Z145" s="207"/>
    </row>
    <row r="146" spans="1:26" ht="255">
      <c r="A146" s="206" t="s">
        <v>810</v>
      </c>
      <c r="B146" s="207" t="s">
        <v>810</v>
      </c>
      <c r="C146" s="207" t="s">
        <v>1479</v>
      </c>
      <c r="D146" s="207" t="s">
        <v>2137</v>
      </c>
      <c r="E146" s="208" t="s">
        <v>1576</v>
      </c>
      <c r="F146" s="209" t="s">
        <v>2138</v>
      </c>
      <c r="G146" s="207" t="s">
        <v>2139</v>
      </c>
      <c r="H146" s="207" t="s">
        <v>2140</v>
      </c>
      <c r="I146" s="207" t="s">
        <v>2141</v>
      </c>
      <c r="J146" s="207" t="s">
        <v>810</v>
      </c>
      <c r="K146" s="207" t="s">
        <v>810</v>
      </c>
      <c r="L146" s="210" t="s">
        <v>1219</v>
      </c>
      <c r="M146" s="207" t="s">
        <v>889</v>
      </c>
      <c r="N146" s="207" t="s">
        <v>931</v>
      </c>
      <c r="O146" s="207" t="s">
        <v>982</v>
      </c>
      <c r="P146" s="207" t="s">
        <v>1025</v>
      </c>
      <c r="Q146" s="207" t="s">
        <v>1067</v>
      </c>
      <c r="R146" s="207" t="s">
        <v>1110</v>
      </c>
      <c r="S146" s="207" t="s">
        <v>1166</v>
      </c>
      <c r="T146" s="207" t="s">
        <v>1264</v>
      </c>
      <c r="U146" s="207" t="s">
        <v>2894</v>
      </c>
      <c r="V146" s="207" t="s">
        <v>2895</v>
      </c>
      <c r="W146" s="207" t="s">
        <v>2896</v>
      </c>
      <c r="X146" s="207" t="s">
        <v>2897</v>
      </c>
      <c r="Y146" s="207" t="s">
        <v>2898</v>
      </c>
      <c r="Z146" s="207"/>
    </row>
    <row r="147" spans="1:26" ht="105">
      <c r="A147" s="206" t="s">
        <v>797</v>
      </c>
      <c r="B147" s="207" t="s">
        <v>797</v>
      </c>
      <c r="C147" s="207" t="s">
        <v>1480</v>
      </c>
      <c r="D147" s="207" t="s">
        <v>2142</v>
      </c>
      <c r="E147" s="208" t="s">
        <v>1577</v>
      </c>
      <c r="F147" s="209" t="s">
        <v>2143</v>
      </c>
      <c r="G147" s="207" t="s">
        <v>2144</v>
      </c>
      <c r="H147" s="207" t="s">
        <v>2145</v>
      </c>
      <c r="I147" s="207" t="s">
        <v>2146</v>
      </c>
      <c r="J147" s="207" t="s">
        <v>797</v>
      </c>
      <c r="K147" s="207" t="s">
        <v>797</v>
      </c>
      <c r="L147" s="210" t="s">
        <v>1220</v>
      </c>
      <c r="M147" s="207" t="s">
        <v>890</v>
      </c>
      <c r="N147" s="207" t="s">
        <v>932</v>
      </c>
      <c r="O147" s="207" t="s">
        <v>983</v>
      </c>
      <c r="P147" s="207" t="s">
        <v>1026</v>
      </c>
      <c r="Q147" s="207" t="s">
        <v>1068</v>
      </c>
      <c r="R147" s="207" t="s">
        <v>1111</v>
      </c>
      <c r="S147" s="207" t="s">
        <v>1167</v>
      </c>
      <c r="T147" s="207" t="s">
        <v>1265</v>
      </c>
      <c r="U147" s="207" t="s">
        <v>2899</v>
      </c>
      <c r="V147" s="207" t="s">
        <v>2900</v>
      </c>
      <c r="W147" s="207" t="s">
        <v>2901</v>
      </c>
      <c r="X147" s="207" t="s">
        <v>2902</v>
      </c>
      <c r="Y147" s="207" t="s">
        <v>2903</v>
      </c>
      <c r="Z147" s="207"/>
    </row>
    <row r="148" spans="1:26" ht="17.25">
      <c r="A148" s="206" t="s">
        <v>811</v>
      </c>
      <c r="B148" s="207" t="s">
        <v>811</v>
      </c>
      <c r="C148" s="207" t="s">
        <v>854</v>
      </c>
      <c r="D148" s="207" t="s">
        <v>1145</v>
      </c>
      <c r="E148" s="208" t="s">
        <v>1578</v>
      </c>
      <c r="F148" s="209" t="s">
        <v>2147</v>
      </c>
      <c r="G148" s="207" t="s">
        <v>2148</v>
      </c>
      <c r="H148" s="207" t="s">
        <v>2149</v>
      </c>
      <c r="I148" s="207" t="s">
        <v>2150</v>
      </c>
      <c r="J148" s="207" t="s">
        <v>811</v>
      </c>
      <c r="K148" s="207" t="s">
        <v>811</v>
      </c>
      <c r="L148" s="210" t="s">
        <v>1221</v>
      </c>
      <c r="M148" s="207" t="s">
        <v>891</v>
      </c>
      <c r="N148" s="207" t="s">
        <v>933</v>
      </c>
      <c r="O148" s="207" t="s">
        <v>984</v>
      </c>
      <c r="P148" s="207" t="s">
        <v>1027</v>
      </c>
      <c r="Q148" s="207" t="s">
        <v>1069</v>
      </c>
      <c r="R148" s="207" t="s">
        <v>1112</v>
      </c>
      <c r="S148" s="207" t="s">
        <v>1168</v>
      </c>
      <c r="T148" s="207" t="s">
        <v>1266</v>
      </c>
      <c r="U148" s="207" t="s">
        <v>2904</v>
      </c>
      <c r="V148" s="207" t="s">
        <v>2905</v>
      </c>
      <c r="W148" s="207" t="s">
        <v>2906</v>
      </c>
      <c r="X148" s="207" t="s">
        <v>2907</v>
      </c>
      <c r="Y148" s="207" t="s">
        <v>2908</v>
      </c>
      <c r="Z148" s="207"/>
    </row>
    <row r="149" spans="1:26" ht="86.25">
      <c r="A149" s="206" t="s">
        <v>812</v>
      </c>
      <c r="B149" s="207" t="s">
        <v>812</v>
      </c>
      <c r="C149" s="207" t="s">
        <v>1481</v>
      </c>
      <c r="D149" s="207" t="s">
        <v>2151</v>
      </c>
      <c r="E149" s="208" t="s">
        <v>1579</v>
      </c>
      <c r="F149" s="209" t="s">
        <v>2152</v>
      </c>
      <c r="G149" s="207" t="s">
        <v>2153</v>
      </c>
      <c r="H149" s="207" t="s">
        <v>2154</v>
      </c>
      <c r="I149" s="207" t="s">
        <v>2155</v>
      </c>
      <c r="J149" s="207" t="s">
        <v>812</v>
      </c>
      <c r="K149" s="207" t="s">
        <v>812</v>
      </c>
      <c r="L149" s="210" t="s">
        <v>1222</v>
      </c>
      <c r="M149" s="207" t="s">
        <v>892</v>
      </c>
      <c r="N149" s="207" t="s">
        <v>934</v>
      </c>
      <c r="O149" s="207" t="s">
        <v>985</v>
      </c>
      <c r="P149" s="207" t="s">
        <v>1028</v>
      </c>
      <c r="Q149" s="207" t="s">
        <v>1070</v>
      </c>
      <c r="R149" s="207" t="s">
        <v>1113</v>
      </c>
      <c r="S149" s="207" t="s">
        <v>1169</v>
      </c>
      <c r="T149" s="207" t="s">
        <v>1267</v>
      </c>
      <c r="U149" s="207" t="s">
        <v>2909</v>
      </c>
      <c r="V149" s="207" t="s">
        <v>2910</v>
      </c>
      <c r="W149" s="207" t="s">
        <v>2911</v>
      </c>
      <c r="X149" s="207" t="s">
        <v>2912</v>
      </c>
      <c r="Y149" s="207" t="s">
        <v>2913</v>
      </c>
      <c r="Z149" s="207"/>
    </row>
    <row r="150" spans="1:26" ht="120.75">
      <c r="A150" s="206" t="s">
        <v>813</v>
      </c>
      <c r="B150" s="207" t="s">
        <v>813</v>
      </c>
      <c r="C150" s="207" t="s">
        <v>1482</v>
      </c>
      <c r="D150" s="207" t="s">
        <v>2156</v>
      </c>
      <c r="E150" s="208" t="s">
        <v>1580</v>
      </c>
      <c r="F150" s="209" t="s">
        <v>2157</v>
      </c>
      <c r="G150" s="207" t="s">
        <v>2158</v>
      </c>
      <c r="H150" s="207" t="s">
        <v>2159</v>
      </c>
      <c r="I150" s="207" t="s">
        <v>2160</v>
      </c>
      <c r="J150" s="207" t="s">
        <v>813</v>
      </c>
      <c r="K150" s="207" t="s">
        <v>813</v>
      </c>
      <c r="L150" s="210" t="s">
        <v>1223</v>
      </c>
      <c r="M150" s="207" t="s">
        <v>893</v>
      </c>
      <c r="N150" s="207" t="s">
        <v>935</v>
      </c>
      <c r="O150" s="207" t="s">
        <v>986</v>
      </c>
      <c r="P150" s="207" t="s">
        <v>1029</v>
      </c>
      <c r="Q150" s="207" t="s">
        <v>1071</v>
      </c>
      <c r="R150" s="207" t="s">
        <v>1114</v>
      </c>
      <c r="S150" s="207" t="s">
        <v>1170</v>
      </c>
      <c r="T150" s="207" t="s">
        <v>1268</v>
      </c>
      <c r="U150" s="207" t="s">
        <v>2914</v>
      </c>
      <c r="V150" s="207" t="s">
        <v>2915</v>
      </c>
      <c r="W150" s="207" t="s">
        <v>2916</v>
      </c>
      <c r="X150" s="207" t="s">
        <v>2917</v>
      </c>
      <c r="Y150" s="207" t="s">
        <v>2918</v>
      </c>
      <c r="Z150" s="207"/>
    </row>
    <row r="151" spans="1:26" ht="105">
      <c r="A151" s="206" t="s">
        <v>814</v>
      </c>
      <c r="B151" s="207" t="s">
        <v>814</v>
      </c>
      <c r="C151" s="207" t="s">
        <v>1483</v>
      </c>
      <c r="D151" s="207" t="s">
        <v>2161</v>
      </c>
      <c r="E151" s="208" t="s">
        <v>1581</v>
      </c>
      <c r="F151" s="209" t="s">
        <v>2162</v>
      </c>
      <c r="G151" s="207" t="s">
        <v>2163</v>
      </c>
      <c r="H151" s="207" t="s">
        <v>2164</v>
      </c>
      <c r="I151" s="207" t="s">
        <v>2165</v>
      </c>
      <c r="J151" s="207" t="s">
        <v>814</v>
      </c>
      <c r="K151" s="207" t="s">
        <v>814</v>
      </c>
      <c r="L151" s="210" t="s">
        <v>1224</v>
      </c>
      <c r="M151" s="207" t="s">
        <v>894</v>
      </c>
      <c r="N151" s="207" t="s">
        <v>936</v>
      </c>
      <c r="O151" s="207" t="s">
        <v>987</v>
      </c>
      <c r="P151" s="207" t="s">
        <v>1030</v>
      </c>
      <c r="Q151" s="207" t="s">
        <v>1072</v>
      </c>
      <c r="R151" s="207" t="s">
        <v>1115</v>
      </c>
      <c r="S151" s="207" t="s">
        <v>1171</v>
      </c>
      <c r="T151" s="207" t="s">
        <v>1269</v>
      </c>
      <c r="U151" s="207" t="s">
        <v>2919</v>
      </c>
      <c r="V151" s="207" t="s">
        <v>2920</v>
      </c>
      <c r="W151" s="207" t="s">
        <v>2921</v>
      </c>
      <c r="X151" s="207" t="s">
        <v>2922</v>
      </c>
      <c r="Y151" s="207" t="s">
        <v>2923</v>
      </c>
      <c r="Z151" s="207"/>
    </row>
    <row r="152" spans="1:26" ht="90">
      <c r="A152" s="206" t="s">
        <v>815</v>
      </c>
      <c r="B152" s="207" t="s">
        <v>815</v>
      </c>
      <c r="C152" s="207" t="s">
        <v>1484</v>
      </c>
      <c r="D152" s="207" t="s">
        <v>2166</v>
      </c>
      <c r="E152" s="208" t="s">
        <v>1582</v>
      </c>
      <c r="F152" s="209" t="s">
        <v>2167</v>
      </c>
      <c r="G152" s="207" t="s">
        <v>2168</v>
      </c>
      <c r="H152" s="207" t="s">
        <v>2169</v>
      </c>
      <c r="I152" s="207" t="s">
        <v>2170</v>
      </c>
      <c r="J152" s="207" t="s">
        <v>815</v>
      </c>
      <c r="K152" s="207" t="s">
        <v>815</v>
      </c>
      <c r="L152" s="210" t="s">
        <v>1225</v>
      </c>
      <c r="M152" s="207" t="s">
        <v>895</v>
      </c>
      <c r="N152" s="207" t="s">
        <v>937</v>
      </c>
      <c r="O152" s="207" t="s">
        <v>988</v>
      </c>
      <c r="P152" s="207" t="s">
        <v>1031</v>
      </c>
      <c r="Q152" s="207" t="s">
        <v>1073</v>
      </c>
      <c r="R152" s="207" t="s">
        <v>1116</v>
      </c>
      <c r="S152" s="207" t="s">
        <v>1172</v>
      </c>
      <c r="T152" s="207" t="s">
        <v>1270</v>
      </c>
      <c r="U152" s="207" t="s">
        <v>2924</v>
      </c>
      <c r="V152" s="207" t="s">
        <v>2925</v>
      </c>
      <c r="W152" s="207" t="s">
        <v>2926</v>
      </c>
      <c r="X152" s="207" t="s">
        <v>2927</v>
      </c>
      <c r="Y152" s="207" t="s">
        <v>2928</v>
      </c>
      <c r="Z152" s="207"/>
    </row>
    <row r="153" spans="1:26" ht="69">
      <c r="A153" s="206" t="s">
        <v>816</v>
      </c>
      <c r="B153" s="207" t="s">
        <v>816</v>
      </c>
      <c r="C153" s="207" t="s">
        <v>855</v>
      </c>
      <c r="D153" s="207" t="s">
        <v>2171</v>
      </c>
      <c r="E153" s="208" t="s">
        <v>1583</v>
      </c>
      <c r="F153" s="209" t="s">
        <v>2172</v>
      </c>
      <c r="G153" s="207" t="s">
        <v>2173</v>
      </c>
      <c r="H153" s="207" t="s">
        <v>2174</v>
      </c>
      <c r="I153" s="207" t="s">
        <v>2175</v>
      </c>
      <c r="J153" s="207" t="s">
        <v>816</v>
      </c>
      <c r="K153" s="207" t="s">
        <v>816</v>
      </c>
      <c r="L153" s="210" t="s">
        <v>1226</v>
      </c>
      <c r="M153" s="207" t="s">
        <v>896</v>
      </c>
      <c r="N153" s="207" t="s">
        <v>938</v>
      </c>
      <c r="O153" s="207" t="s">
        <v>989</v>
      </c>
      <c r="P153" s="207" t="s">
        <v>1032</v>
      </c>
      <c r="Q153" s="207" t="s">
        <v>1074</v>
      </c>
      <c r="R153" s="207" t="s">
        <v>1117</v>
      </c>
      <c r="S153" s="207" t="s">
        <v>1173</v>
      </c>
      <c r="T153" s="207" t="s">
        <v>1271</v>
      </c>
      <c r="U153" s="207" t="s">
        <v>2929</v>
      </c>
      <c r="V153" s="207" t="s">
        <v>2930</v>
      </c>
      <c r="W153" s="207" t="s">
        <v>2931</v>
      </c>
      <c r="X153" s="207" t="s">
        <v>2932</v>
      </c>
      <c r="Y153" s="207" t="s">
        <v>2933</v>
      </c>
      <c r="Z153" s="207"/>
    </row>
    <row r="154" spans="1:26" ht="69">
      <c r="A154" s="206" t="s">
        <v>817</v>
      </c>
      <c r="B154" s="207" t="s">
        <v>817</v>
      </c>
      <c r="C154" s="207" t="s">
        <v>1485</v>
      </c>
      <c r="D154" s="207" t="s">
        <v>2176</v>
      </c>
      <c r="E154" s="208" t="s">
        <v>1584</v>
      </c>
      <c r="F154" s="209" t="s">
        <v>2177</v>
      </c>
      <c r="G154" s="207" t="s">
        <v>2178</v>
      </c>
      <c r="H154" s="207" t="s">
        <v>2179</v>
      </c>
      <c r="I154" s="207" t="s">
        <v>2180</v>
      </c>
      <c r="J154" s="207" t="s">
        <v>817</v>
      </c>
      <c r="K154" s="207" t="s">
        <v>817</v>
      </c>
      <c r="L154" s="210" t="s">
        <v>1227</v>
      </c>
      <c r="M154" s="207" t="s">
        <v>897</v>
      </c>
      <c r="N154" s="207" t="s">
        <v>939</v>
      </c>
      <c r="O154" s="207" t="s">
        <v>990</v>
      </c>
      <c r="P154" s="207" t="s">
        <v>1033</v>
      </c>
      <c r="Q154" s="207" t="s">
        <v>1075</v>
      </c>
      <c r="R154" s="207" t="s">
        <v>1118</v>
      </c>
      <c r="S154" s="207" t="s">
        <v>1174</v>
      </c>
      <c r="T154" s="207" t="s">
        <v>1272</v>
      </c>
      <c r="U154" s="207" t="s">
        <v>2934</v>
      </c>
      <c r="V154" s="207" t="s">
        <v>2935</v>
      </c>
      <c r="W154" s="207" t="s">
        <v>2936</v>
      </c>
      <c r="X154" s="207" t="s">
        <v>2937</v>
      </c>
      <c r="Y154" s="207" t="s">
        <v>2938</v>
      </c>
      <c r="Z154" s="207"/>
    </row>
    <row r="155" spans="1:26" ht="105">
      <c r="A155" s="206" t="s">
        <v>818</v>
      </c>
      <c r="B155" s="207" t="s">
        <v>818</v>
      </c>
      <c r="C155" s="207" t="s">
        <v>1486</v>
      </c>
      <c r="D155" s="207" t="s">
        <v>1146</v>
      </c>
      <c r="E155" s="208" t="s">
        <v>1585</v>
      </c>
      <c r="F155" s="209" t="s">
        <v>2181</v>
      </c>
      <c r="G155" s="207" t="s">
        <v>2182</v>
      </c>
      <c r="H155" s="207" t="s">
        <v>2183</v>
      </c>
      <c r="I155" s="207" t="s">
        <v>2184</v>
      </c>
      <c r="J155" s="207" t="s">
        <v>818</v>
      </c>
      <c r="K155" s="207" t="s">
        <v>818</v>
      </c>
      <c r="L155" s="210" t="s">
        <v>1228</v>
      </c>
      <c r="M155" s="207" t="s">
        <v>898</v>
      </c>
      <c r="N155" s="207" t="s">
        <v>940</v>
      </c>
      <c r="O155" s="207" t="s">
        <v>991</v>
      </c>
      <c r="P155" s="207" t="s">
        <v>1034</v>
      </c>
      <c r="Q155" s="207" t="s">
        <v>1076</v>
      </c>
      <c r="R155" s="207" t="s">
        <v>1119</v>
      </c>
      <c r="S155" s="207" t="s">
        <v>1175</v>
      </c>
      <c r="T155" s="207" t="s">
        <v>1273</v>
      </c>
      <c r="U155" s="207" t="s">
        <v>2939</v>
      </c>
      <c r="V155" s="207" t="s">
        <v>2940</v>
      </c>
      <c r="W155" s="207" t="s">
        <v>2941</v>
      </c>
      <c r="X155" s="207" t="s">
        <v>2942</v>
      </c>
      <c r="Y155" s="207" t="s">
        <v>2943</v>
      </c>
      <c r="Z155" s="207"/>
    </row>
    <row r="156" spans="1:26" ht="17.25">
      <c r="A156" s="206" t="s">
        <v>819</v>
      </c>
      <c r="B156" s="207" t="s">
        <v>819</v>
      </c>
      <c r="C156" s="207" t="s">
        <v>856</v>
      </c>
      <c r="D156" s="207" t="s">
        <v>1147</v>
      </c>
      <c r="E156" s="208" t="s">
        <v>1586</v>
      </c>
      <c r="F156" s="209" t="s">
        <v>2185</v>
      </c>
      <c r="G156" s="207" t="s">
        <v>2186</v>
      </c>
      <c r="H156" s="207" t="s">
        <v>2187</v>
      </c>
      <c r="I156" s="207" t="s">
        <v>2188</v>
      </c>
      <c r="J156" s="207" t="s">
        <v>819</v>
      </c>
      <c r="K156" s="207" t="s">
        <v>819</v>
      </c>
      <c r="L156" s="210" t="s">
        <v>1229</v>
      </c>
      <c r="M156" s="207" t="s">
        <v>899</v>
      </c>
      <c r="N156" s="207" t="s">
        <v>941</v>
      </c>
      <c r="O156" s="207" t="s">
        <v>992</v>
      </c>
      <c r="P156" s="207" t="s">
        <v>1035</v>
      </c>
      <c r="Q156" s="207" t="s">
        <v>1077</v>
      </c>
      <c r="R156" s="207" t="s">
        <v>1120</v>
      </c>
      <c r="S156" s="207" t="s">
        <v>1176</v>
      </c>
      <c r="T156" s="207" t="s">
        <v>1274</v>
      </c>
      <c r="U156" s="207" t="s">
        <v>2944</v>
      </c>
      <c r="V156" s="207" t="s">
        <v>2945</v>
      </c>
      <c r="W156" s="207" t="s">
        <v>2946</v>
      </c>
      <c r="X156" s="207" t="s">
        <v>2947</v>
      </c>
      <c r="Y156" s="207" t="s">
        <v>2948</v>
      </c>
      <c r="Z156" s="207"/>
    </row>
    <row r="157" spans="1:26" ht="165">
      <c r="A157" s="206" t="s">
        <v>820</v>
      </c>
      <c r="B157" s="207" t="s">
        <v>820</v>
      </c>
      <c r="C157" s="207" t="s">
        <v>857</v>
      </c>
      <c r="D157" s="207" t="s">
        <v>2189</v>
      </c>
      <c r="E157" s="208" t="s">
        <v>1587</v>
      </c>
      <c r="F157" s="209" t="s">
        <v>2190</v>
      </c>
      <c r="G157" s="207" t="s">
        <v>2191</v>
      </c>
      <c r="H157" s="207" t="s">
        <v>2192</v>
      </c>
      <c r="I157" s="207" t="s">
        <v>2193</v>
      </c>
      <c r="J157" s="207" t="s">
        <v>820</v>
      </c>
      <c r="K157" s="207" t="s">
        <v>820</v>
      </c>
      <c r="L157" s="210" t="s">
        <v>1230</v>
      </c>
      <c r="M157" s="207" t="s">
        <v>900</v>
      </c>
      <c r="N157" s="207" t="s">
        <v>942</v>
      </c>
      <c r="O157" s="207" t="s">
        <v>993</v>
      </c>
      <c r="P157" s="207" t="s">
        <v>1036</v>
      </c>
      <c r="Q157" s="207" t="s">
        <v>1078</v>
      </c>
      <c r="R157" s="207" t="s">
        <v>1121</v>
      </c>
      <c r="S157" s="207" t="s">
        <v>1177</v>
      </c>
      <c r="T157" s="207" t="s">
        <v>1275</v>
      </c>
      <c r="U157" s="207" t="s">
        <v>2949</v>
      </c>
      <c r="V157" s="207" t="s">
        <v>2950</v>
      </c>
      <c r="W157" s="207" t="s">
        <v>2951</v>
      </c>
      <c r="X157" s="207" t="s">
        <v>2952</v>
      </c>
      <c r="Y157" s="207" t="s">
        <v>2953</v>
      </c>
      <c r="Z157" s="207"/>
    </row>
    <row r="158" spans="1:26" ht="69">
      <c r="A158" s="206" t="s">
        <v>821</v>
      </c>
      <c r="B158" s="207" t="s">
        <v>821</v>
      </c>
      <c r="C158" s="207" t="s">
        <v>1487</v>
      </c>
      <c r="D158" s="207" t="s">
        <v>2194</v>
      </c>
      <c r="E158" s="208" t="s">
        <v>1588</v>
      </c>
      <c r="F158" s="209" t="s">
        <v>2195</v>
      </c>
      <c r="G158" s="207" t="s">
        <v>2196</v>
      </c>
      <c r="H158" s="207" t="s">
        <v>2197</v>
      </c>
      <c r="I158" s="207" t="s">
        <v>2198</v>
      </c>
      <c r="J158" s="207" t="s">
        <v>821</v>
      </c>
      <c r="K158" s="207" t="s">
        <v>821</v>
      </c>
      <c r="L158" s="210" t="s">
        <v>1231</v>
      </c>
      <c r="M158" s="207" t="s">
        <v>901</v>
      </c>
      <c r="N158" s="207" t="s">
        <v>943</v>
      </c>
      <c r="O158" s="207" t="s">
        <v>994</v>
      </c>
      <c r="P158" s="207" t="s">
        <v>1037</v>
      </c>
      <c r="Q158" s="207" t="s">
        <v>1079</v>
      </c>
      <c r="R158" s="207" t="s">
        <v>1122</v>
      </c>
      <c r="S158" s="207" t="s">
        <v>1178</v>
      </c>
      <c r="T158" s="207" t="s">
        <v>1276</v>
      </c>
      <c r="U158" s="207" t="s">
        <v>2954</v>
      </c>
      <c r="V158" s="207" t="s">
        <v>2955</v>
      </c>
      <c r="W158" s="207" t="s">
        <v>2956</v>
      </c>
      <c r="X158" s="207" t="s">
        <v>2957</v>
      </c>
      <c r="Y158" s="207" t="s">
        <v>2958</v>
      </c>
      <c r="Z158" s="207"/>
    </row>
    <row r="159" spans="1:26" ht="51.75">
      <c r="A159" s="206" t="s">
        <v>822</v>
      </c>
      <c r="B159" s="207" t="s">
        <v>822</v>
      </c>
      <c r="C159" s="207" t="s">
        <v>1488</v>
      </c>
      <c r="D159" s="207" t="s">
        <v>1148</v>
      </c>
      <c r="E159" s="208" t="s">
        <v>1589</v>
      </c>
      <c r="F159" s="209" t="s">
        <v>2199</v>
      </c>
      <c r="G159" s="207" t="s">
        <v>2200</v>
      </c>
      <c r="H159" s="207" t="s">
        <v>2201</v>
      </c>
      <c r="I159" s="207" t="s">
        <v>2202</v>
      </c>
      <c r="J159" s="207" t="s">
        <v>822</v>
      </c>
      <c r="K159" s="207" t="s">
        <v>822</v>
      </c>
      <c r="L159" s="210" t="s">
        <v>1232</v>
      </c>
      <c r="M159" s="207" t="s">
        <v>902</v>
      </c>
      <c r="N159" s="207" t="s">
        <v>944</v>
      </c>
      <c r="O159" s="207" t="s">
        <v>995</v>
      </c>
      <c r="P159" s="207" t="s">
        <v>1038</v>
      </c>
      <c r="Q159" s="207" t="s">
        <v>1080</v>
      </c>
      <c r="R159" s="207" t="s">
        <v>1123</v>
      </c>
      <c r="S159" s="207" t="s">
        <v>1179</v>
      </c>
      <c r="T159" s="207" t="s">
        <v>1277</v>
      </c>
      <c r="U159" s="207" t="s">
        <v>2959</v>
      </c>
      <c r="V159" s="207" t="s">
        <v>2960</v>
      </c>
      <c r="W159" s="207" t="s">
        <v>2961</v>
      </c>
      <c r="X159" s="207" t="s">
        <v>2962</v>
      </c>
      <c r="Y159" s="207" t="s">
        <v>2963</v>
      </c>
      <c r="Z159" s="207"/>
    </row>
    <row r="160" spans="1:26" ht="45">
      <c r="A160" s="206" t="s">
        <v>823</v>
      </c>
      <c r="B160" s="207" t="s">
        <v>823</v>
      </c>
      <c r="C160" s="207" t="s">
        <v>1489</v>
      </c>
      <c r="D160" s="207" t="s">
        <v>1149</v>
      </c>
      <c r="E160" s="208" t="s">
        <v>964</v>
      </c>
      <c r="F160" s="209" t="s">
        <v>2203</v>
      </c>
      <c r="G160" s="207" t="s">
        <v>2204</v>
      </c>
      <c r="H160" s="207" t="s">
        <v>2205</v>
      </c>
      <c r="I160" s="207" t="s">
        <v>2206</v>
      </c>
      <c r="J160" s="207" t="s">
        <v>823</v>
      </c>
      <c r="K160" s="207" t="s">
        <v>823</v>
      </c>
      <c r="L160" s="210" t="s">
        <v>1233</v>
      </c>
      <c r="M160" s="207" t="s">
        <v>903</v>
      </c>
      <c r="N160" s="207" t="s">
        <v>945</v>
      </c>
      <c r="O160" s="207" t="s">
        <v>996</v>
      </c>
      <c r="P160" s="207" t="s">
        <v>1039</v>
      </c>
      <c r="Q160" s="207" t="s">
        <v>1081</v>
      </c>
      <c r="R160" s="207" t="s">
        <v>1124</v>
      </c>
      <c r="S160" s="207" t="s">
        <v>1180</v>
      </c>
      <c r="T160" s="207" t="s">
        <v>1278</v>
      </c>
      <c r="U160" s="207" t="s">
        <v>2964</v>
      </c>
      <c r="V160" s="207" t="s">
        <v>2965</v>
      </c>
      <c r="W160" s="207" t="s">
        <v>2966</v>
      </c>
      <c r="X160" s="207" t="s">
        <v>2967</v>
      </c>
      <c r="Y160" s="207" t="s">
        <v>2968</v>
      </c>
      <c r="Z160" s="207"/>
    </row>
    <row r="161" spans="1:26" ht="69">
      <c r="A161" s="206" t="s">
        <v>824</v>
      </c>
      <c r="B161" s="207" t="s">
        <v>824</v>
      </c>
      <c r="C161" s="207" t="s">
        <v>1490</v>
      </c>
      <c r="D161" s="207" t="s">
        <v>1150</v>
      </c>
      <c r="E161" s="208" t="s">
        <v>1590</v>
      </c>
      <c r="F161" s="209" t="s">
        <v>2207</v>
      </c>
      <c r="G161" s="207" t="s">
        <v>2208</v>
      </c>
      <c r="H161" s="207" t="s">
        <v>2209</v>
      </c>
      <c r="I161" s="207" t="s">
        <v>2210</v>
      </c>
      <c r="J161" s="207" t="s">
        <v>824</v>
      </c>
      <c r="K161" s="207" t="s">
        <v>824</v>
      </c>
      <c r="L161" s="210" t="s">
        <v>1234</v>
      </c>
      <c r="M161" s="207" t="s">
        <v>904</v>
      </c>
      <c r="N161" s="207" t="s">
        <v>946</v>
      </c>
      <c r="O161" s="207" t="s">
        <v>997</v>
      </c>
      <c r="P161" s="207" t="s">
        <v>1040</v>
      </c>
      <c r="Q161" s="207" t="s">
        <v>1082</v>
      </c>
      <c r="R161" s="207" t="s">
        <v>1125</v>
      </c>
      <c r="S161" s="207" t="s">
        <v>1181</v>
      </c>
      <c r="T161" s="207" t="s">
        <v>1279</v>
      </c>
      <c r="U161" s="207" t="s">
        <v>2969</v>
      </c>
      <c r="V161" s="207" t="s">
        <v>2970</v>
      </c>
      <c r="W161" s="207" t="s">
        <v>2971</v>
      </c>
      <c r="X161" s="207" t="s">
        <v>2972</v>
      </c>
      <c r="Y161" s="207" t="s">
        <v>2973</v>
      </c>
      <c r="Z161" s="207"/>
    </row>
    <row r="162" spans="1:26" ht="34.5">
      <c r="A162" s="206" t="s">
        <v>825</v>
      </c>
      <c r="B162" s="207" t="s">
        <v>825</v>
      </c>
      <c r="C162" s="207" t="s">
        <v>1491</v>
      </c>
      <c r="D162" s="207" t="s">
        <v>1151</v>
      </c>
      <c r="E162" s="208" t="s">
        <v>965</v>
      </c>
      <c r="F162" s="209" t="s">
        <v>2211</v>
      </c>
      <c r="G162" s="207" t="s">
        <v>2212</v>
      </c>
      <c r="H162" s="207" t="s">
        <v>2213</v>
      </c>
      <c r="I162" s="207" t="s">
        <v>2214</v>
      </c>
      <c r="J162" s="207" t="s">
        <v>825</v>
      </c>
      <c r="K162" s="207" t="s">
        <v>825</v>
      </c>
      <c r="L162" s="210" t="s">
        <v>1235</v>
      </c>
      <c r="M162" s="207" t="s">
        <v>905</v>
      </c>
      <c r="N162" s="207" t="s">
        <v>947</v>
      </c>
      <c r="O162" s="207" t="s">
        <v>998</v>
      </c>
      <c r="P162" s="207" t="s">
        <v>1041</v>
      </c>
      <c r="Q162" s="207" t="s">
        <v>1083</v>
      </c>
      <c r="R162" s="207" t="s">
        <v>1126</v>
      </c>
      <c r="S162" s="207" t="s">
        <v>1182</v>
      </c>
      <c r="T162" s="207" t="s">
        <v>1280</v>
      </c>
      <c r="U162" s="207" t="s">
        <v>2974</v>
      </c>
      <c r="V162" s="207" t="s">
        <v>2975</v>
      </c>
      <c r="W162" s="207" t="s">
        <v>2976</v>
      </c>
      <c r="X162" s="207" t="s">
        <v>2977</v>
      </c>
      <c r="Y162" s="207" t="s">
        <v>2978</v>
      </c>
      <c r="Z162" s="207"/>
    </row>
    <row r="163" spans="1:26" ht="45">
      <c r="A163" s="206" t="s">
        <v>826</v>
      </c>
      <c r="B163" s="207" t="s">
        <v>826</v>
      </c>
      <c r="C163" s="207" t="s">
        <v>1492</v>
      </c>
      <c r="D163" s="207" t="s">
        <v>1152</v>
      </c>
      <c r="E163" s="208" t="s">
        <v>1591</v>
      </c>
      <c r="F163" s="209" t="s">
        <v>2215</v>
      </c>
      <c r="G163" s="207" t="s">
        <v>2216</v>
      </c>
      <c r="H163" s="207" t="s">
        <v>2217</v>
      </c>
      <c r="I163" s="207" t="s">
        <v>2218</v>
      </c>
      <c r="J163" s="207" t="s">
        <v>826</v>
      </c>
      <c r="K163" s="207" t="s">
        <v>826</v>
      </c>
      <c r="L163" s="210" t="s">
        <v>1236</v>
      </c>
      <c r="M163" s="207" t="s">
        <v>906</v>
      </c>
      <c r="N163" s="207" t="s">
        <v>948</v>
      </c>
      <c r="O163" s="207" t="s">
        <v>999</v>
      </c>
      <c r="P163" s="207" t="s">
        <v>1042</v>
      </c>
      <c r="Q163" s="207" t="s">
        <v>1084</v>
      </c>
      <c r="R163" s="207" t="s">
        <v>1127</v>
      </c>
      <c r="S163" s="207" t="s">
        <v>1183</v>
      </c>
      <c r="T163" s="207" t="s">
        <v>1281</v>
      </c>
      <c r="U163" s="207" t="s">
        <v>2979</v>
      </c>
      <c r="V163" s="207" t="s">
        <v>2980</v>
      </c>
      <c r="W163" s="207" t="s">
        <v>2981</v>
      </c>
      <c r="X163" s="207" t="s">
        <v>2982</v>
      </c>
      <c r="Y163" s="207" t="s">
        <v>2983</v>
      </c>
      <c r="Z163" s="207"/>
    </row>
    <row r="164" spans="1:26" ht="60">
      <c r="A164" s="206" t="s">
        <v>827</v>
      </c>
      <c r="B164" s="207" t="s">
        <v>827</v>
      </c>
      <c r="C164" s="207" t="s">
        <v>858</v>
      </c>
      <c r="D164" s="207" t="s">
        <v>2219</v>
      </c>
      <c r="E164" s="208" t="s">
        <v>1592</v>
      </c>
      <c r="F164" s="209" t="s">
        <v>2220</v>
      </c>
      <c r="G164" s="207" t="s">
        <v>2221</v>
      </c>
      <c r="H164" s="207" t="s">
        <v>2222</v>
      </c>
      <c r="I164" s="207" t="s">
        <v>2223</v>
      </c>
      <c r="J164" s="207" t="s">
        <v>827</v>
      </c>
      <c r="K164" s="207" t="s">
        <v>827</v>
      </c>
      <c r="L164" s="210" t="s">
        <v>1237</v>
      </c>
      <c r="M164" s="207" t="s">
        <v>907</v>
      </c>
      <c r="N164" s="207" t="s">
        <v>949</v>
      </c>
      <c r="O164" s="207" t="s">
        <v>1000</v>
      </c>
      <c r="P164" s="207" t="s">
        <v>1043</v>
      </c>
      <c r="Q164" s="207" t="s">
        <v>1085</v>
      </c>
      <c r="R164" s="207" t="s">
        <v>1128</v>
      </c>
      <c r="S164" s="207" t="s">
        <v>1184</v>
      </c>
      <c r="T164" s="207" t="s">
        <v>1282</v>
      </c>
      <c r="U164" s="207" t="s">
        <v>2984</v>
      </c>
      <c r="V164" s="207" t="s">
        <v>2985</v>
      </c>
      <c r="W164" s="207" t="s">
        <v>2986</v>
      </c>
      <c r="X164" s="207" t="s">
        <v>2987</v>
      </c>
      <c r="Y164" s="207" t="s">
        <v>2988</v>
      </c>
      <c r="Z164" s="207"/>
    </row>
    <row r="165" spans="1:26" ht="135">
      <c r="A165" s="206" t="s">
        <v>828</v>
      </c>
      <c r="B165" s="207" t="s">
        <v>828</v>
      </c>
      <c r="C165" s="207" t="s">
        <v>859</v>
      </c>
      <c r="D165" s="207" t="s">
        <v>2224</v>
      </c>
      <c r="E165" s="208" t="s">
        <v>1593</v>
      </c>
      <c r="F165" s="209" t="s">
        <v>2225</v>
      </c>
      <c r="G165" s="207" t="s">
        <v>2226</v>
      </c>
      <c r="H165" s="207" t="s">
        <v>2227</v>
      </c>
      <c r="I165" s="207" t="s">
        <v>2228</v>
      </c>
      <c r="J165" s="207" t="s">
        <v>828</v>
      </c>
      <c r="K165" s="207" t="s">
        <v>828</v>
      </c>
      <c r="L165" s="210" t="s">
        <v>1238</v>
      </c>
      <c r="M165" s="207" t="s">
        <v>908</v>
      </c>
      <c r="N165" s="207" t="s">
        <v>950</v>
      </c>
      <c r="O165" s="207" t="s">
        <v>1001</v>
      </c>
      <c r="P165" s="207" t="s">
        <v>1044</v>
      </c>
      <c r="Q165" s="207" t="s">
        <v>1086</v>
      </c>
      <c r="R165" s="207" t="s">
        <v>1129</v>
      </c>
      <c r="S165" s="207" t="s">
        <v>1185</v>
      </c>
      <c r="T165" s="207" t="s">
        <v>1283</v>
      </c>
      <c r="U165" s="207" t="s">
        <v>2989</v>
      </c>
      <c r="V165" s="207" t="s">
        <v>2990</v>
      </c>
      <c r="W165" s="207" t="s">
        <v>2991</v>
      </c>
      <c r="X165" s="207" t="s">
        <v>2992</v>
      </c>
      <c r="Y165" s="207" t="s">
        <v>2993</v>
      </c>
      <c r="Z165" s="207"/>
    </row>
    <row r="166" spans="1:26" ht="60">
      <c r="A166" s="206" t="s">
        <v>837</v>
      </c>
      <c r="B166" s="207" t="s">
        <v>837</v>
      </c>
      <c r="C166" s="207" t="s">
        <v>1493</v>
      </c>
      <c r="D166" s="207" t="s">
        <v>2229</v>
      </c>
      <c r="E166" s="208" t="s">
        <v>1594</v>
      </c>
      <c r="F166" s="209" t="s">
        <v>2230</v>
      </c>
      <c r="G166" s="207" t="s">
        <v>2231</v>
      </c>
      <c r="H166" s="207" t="s">
        <v>2232</v>
      </c>
      <c r="I166" s="207" t="s">
        <v>2233</v>
      </c>
      <c r="J166" s="207" t="s">
        <v>837</v>
      </c>
      <c r="K166" s="207" t="s">
        <v>837</v>
      </c>
      <c r="L166" s="210" t="s">
        <v>1239</v>
      </c>
      <c r="M166" s="207" t="s">
        <v>909</v>
      </c>
      <c r="N166" s="207" t="s">
        <v>951</v>
      </c>
      <c r="O166" s="207" t="s">
        <v>1002</v>
      </c>
      <c r="P166" s="207" t="s">
        <v>1045</v>
      </c>
      <c r="Q166" s="207" t="s">
        <v>1087</v>
      </c>
      <c r="R166" s="207" t="s">
        <v>1130</v>
      </c>
      <c r="S166" s="207" t="s">
        <v>1186</v>
      </c>
      <c r="T166" s="207" t="s">
        <v>1284</v>
      </c>
      <c r="U166" s="207" t="s">
        <v>2994</v>
      </c>
      <c r="V166" s="207" t="s">
        <v>2995</v>
      </c>
      <c r="W166" s="207" t="s">
        <v>2996</v>
      </c>
      <c r="X166" s="207" t="s">
        <v>2997</v>
      </c>
      <c r="Y166" s="207" t="s">
        <v>2998</v>
      </c>
      <c r="Z166" s="207"/>
    </row>
    <row r="167" spans="1:26" ht="105">
      <c r="A167" s="206" t="s">
        <v>838</v>
      </c>
      <c r="B167" s="207" t="s">
        <v>838</v>
      </c>
      <c r="C167" s="207" t="s">
        <v>1494</v>
      </c>
      <c r="D167" s="207" t="s">
        <v>2234</v>
      </c>
      <c r="E167" s="208" t="s">
        <v>1595</v>
      </c>
      <c r="F167" s="209" t="s">
        <v>2235</v>
      </c>
      <c r="G167" s="207" t="s">
        <v>2236</v>
      </c>
      <c r="H167" s="207" t="s">
        <v>2237</v>
      </c>
      <c r="I167" s="207" t="s">
        <v>2238</v>
      </c>
      <c r="J167" s="207" t="s">
        <v>838</v>
      </c>
      <c r="K167" s="207" t="s">
        <v>838</v>
      </c>
      <c r="L167" s="210" t="s">
        <v>1240</v>
      </c>
      <c r="M167" s="207" t="s">
        <v>910</v>
      </c>
      <c r="N167" s="207" t="s">
        <v>952</v>
      </c>
      <c r="O167" s="207" t="s">
        <v>1003</v>
      </c>
      <c r="P167" s="207" t="s">
        <v>1046</v>
      </c>
      <c r="Q167" s="207" t="s">
        <v>1088</v>
      </c>
      <c r="R167" s="207" t="s">
        <v>1131</v>
      </c>
      <c r="S167" s="207" t="s">
        <v>1187</v>
      </c>
      <c r="T167" s="207" t="s">
        <v>1285</v>
      </c>
      <c r="U167" s="207" t="s">
        <v>2999</v>
      </c>
      <c r="V167" s="207" t="s">
        <v>3000</v>
      </c>
      <c r="W167" s="207" t="s">
        <v>3001</v>
      </c>
      <c r="X167" s="207" t="s">
        <v>3002</v>
      </c>
      <c r="Y167" s="207" t="s">
        <v>3003</v>
      </c>
      <c r="Z167" s="207"/>
    </row>
    <row r="168" spans="1:26" ht="90">
      <c r="A168" s="206" t="s">
        <v>799</v>
      </c>
      <c r="B168" s="207" t="s">
        <v>799</v>
      </c>
      <c r="C168" s="207" t="s">
        <v>1495</v>
      </c>
      <c r="D168" s="207" t="s">
        <v>2239</v>
      </c>
      <c r="E168" s="208" t="s">
        <v>1596</v>
      </c>
      <c r="F168" s="209" t="s">
        <v>2240</v>
      </c>
      <c r="G168" s="207" t="s">
        <v>2241</v>
      </c>
      <c r="H168" s="207" t="s">
        <v>2242</v>
      </c>
      <c r="I168" s="207" t="s">
        <v>2243</v>
      </c>
      <c r="J168" s="207" t="s">
        <v>799</v>
      </c>
      <c r="K168" s="207" t="s">
        <v>799</v>
      </c>
      <c r="L168" s="210" t="s">
        <v>1241</v>
      </c>
      <c r="M168" s="207" t="s">
        <v>911</v>
      </c>
      <c r="N168" s="207" t="s">
        <v>953</v>
      </c>
      <c r="O168" s="207" t="s">
        <v>1004</v>
      </c>
      <c r="P168" s="207" t="s">
        <v>1047</v>
      </c>
      <c r="Q168" s="207" t="s">
        <v>1089</v>
      </c>
      <c r="R168" s="207" t="s">
        <v>1132</v>
      </c>
      <c r="S168" s="207" t="s">
        <v>1188</v>
      </c>
      <c r="T168" s="207" t="s">
        <v>1286</v>
      </c>
      <c r="U168" s="207" t="s">
        <v>3004</v>
      </c>
      <c r="V168" s="207" t="s">
        <v>3005</v>
      </c>
      <c r="W168" s="207" t="s">
        <v>3006</v>
      </c>
      <c r="X168" s="207" t="s">
        <v>3007</v>
      </c>
      <c r="Y168" s="207" t="s">
        <v>3008</v>
      </c>
      <c r="Z168" s="207"/>
    </row>
    <row r="169" spans="1:26" ht="60">
      <c r="A169" s="206" t="s">
        <v>829</v>
      </c>
      <c r="B169" s="207" t="s">
        <v>829</v>
      </c>
      <c r="C169" s="207" t="s">
        <v>1496</v>
      </c>
      <c r="D169" s="207" t="s">
        <v>2244</v>
      </c>
      <c r="E169" s="208" t="s">
        <v>1597</v>
      </c>
      <c r="F169" s="209" t="s">
        <v>2245</v>
      </c>
      <c r="G169" s="207" t="s">
        <v>2246</v>
      </c>
      <c r="H169" s="207" t="s">
        <v>2247</v>
      </c>
      <c r="I169" s="207" t="s">
        <v>2248</v>
      </c>
      <c r="J169" s="207" t="s">
        <v>829</v>
      </c>
      <c r="K169" s="207" t="s">
        <v>829</v>
      </c>
      <c r="L169" s="210" t="s">
        <v>1242</v>
      </c>
      <c r="M169" s="207" t="s">
        <v>912</v>
      </c>
      <c r="N169" s="207" t="s">
        <v>954</v>
      </c>
      <c r="O169" s="207" t="s">
        <v>1005</v>
      </c>
      <c r="P169" s="207" t="s">
        <v>1048</v>
      </c>
      <c r="Q169" s="207" t="s">
        <v>1090</v>
      </c>
      <c r="R169" s="207" t="s">
        <v>1133</v>
      </c>
      <c r="S169" s="207" t="s">
        <v>1189</v>
      </c>
      <c r="T169" s="207" t="s">
        <v>1287</v>
      </c>
      <c r="U169" s="207" t="s">
        <v>3009</v>
      </c>
      <c r="V169" s="207" t="s">
        <v>3010</v>
      </c>
      <c r="W169" s="207" t="s">
        <v>3011</v>
      </c>
      <c r="X169" s="207" t="s">
        <v>3012</v>
      </c>
      <c r="Y169" s="207" t="s">
        <v>3013</v>
      </c>
      <c r="Z169" s="207"/>
    </row>
    <row r="170" spans="1:26" ht="45">
      <c r="A170" s="206" t="s">
        <v>830</v>
      </c>
      <c r="B170" s="207" t="s">
        <v>830</v>
      </c>
      <c r="C170" s="207" t="s">
        <v>1497</v>
      </c>
      <c r="D170" s="207" t="s">
        <v>1153</v>
      </c>
      <c r="E170" s="208" t="s">
        <v>1598</v>
      </c>
      <c r="F170" s="209" t="s">
        <v>2249</v>
      </c>
      <c r="G170" s="207" t="s">
        <v>2250</v>
      </c>
      <c r="H170" s="207" t="s">
        <v>2251</v>
      </c>
      <c r="I170" s="207" t="s">
        <v>2252</v>
      </c>
      <c r="J170" s="207" t="s">
        <v>830</v>
      </c>
      <c r="K170" s="207" t="s">
        <v>830</v>
      </c>
      <c r="L170" s="210" t="s">
        <v>1243</v>
      </c>
      <c r="M170" s="207" t="s">
        <v>913</v>
      </c>
      <c r="N170" s="207" t="s">
        <v>955</v>
      </c>
      <c r="O170" s="207" t="s">
        <v>1006</v>
      </c>
      <c r="P170" s="207" t="s">
        <v>1049</v>
      </c>
      <c r="Q170" s="207" t="s">
        <v>1091</v>
      </c>
      <c r="R170" s="207" t="s">
        <v>1134</v>
      </c>
      <c r="S170" s="207" t="s">
        <v>1190</v>
      </c>
      <c r="T170" s="207" t="s">
        <v>1288</v>
      </c>
      <c r="U170" s="207" t="s">
        <v>3014</v>
      </c>
      <c r="V170" s="207" t="s">
        <v>3015</v>
      </c>
      <c r="W170" s="207" t="s">
        <v>3016</v>
      </c>
      <c r="X170" s="207" t="s">
        <v>3017</v>
      </c>
      <c r="Y170" s="207" t="s">
        <v>3018</v>
      </c>
      <c r="Z170" s="207"/>
    </row>
    <row r="171" spans="1:26" ht="60">
      <c r="A171" s="206" t="s">
        <v>831</v>
      </c>
      <c r="B171" s="207" t="s">
        <v>831</v>
      </c>
      <c r="C171" s="207" t="s">
        <v>860</v>
      </c>
      <c r="D171" s="207" t="s">
        <v>1154</v>
      </c>
      <c r="E171" s="208" t="s">
        <v>1599</v>
      </c>
      <c r="F171" s="209" t="s">
        <v>2253</v>
      </c>
      <c r="G171" s="207" t="s">
        <v>2254</v>
      </c>
      <c r="H171" s="207" t="s">
        <v>2255</v>
      </c>
      <c r="I171" s="207" t="s">
        <v>2256</v>
      </c>
      <c r="J171" s="207" t="s">
        <v>831</v>
      </c>
      <c r="K171" s="207" t="s">
        <v>831</v>
      </c>
      <c r="L171" s="210" t="s">
        <v>1244</v>
      </c>
      <c r="M171" s="207" t="s">
        <v>914</v>
      </c>
      <c r="N171" s="207" t="s">
        <v>956</v>
      </c>
      <c r="O171" s="207" t="s">
        <v>1007</v>
      </c>
      <c r="P171" s="207" t="s">
        <v>1050</v>
      </c>
      <c r="Q171" s="207" t="s">
        <v>1092</v>
      </c>
      <c r="R171" s="207" t="s">
        <v>1135</v>
      </c>
      <c r="S171" s="207" t="s">
        <v>1191</v>
      </c>
      <c r="T171" s="207" t="s">
        <v>1289</v>
      </c>
      <c r="U171" s="207" t="s">
        <v>3019</v>
      </c>
      <c r="V171" s="207" t="s">
        <v>3020</v>
      </c>
      <c r="W171" s="207" t="s">
        <v>3021</v>
      </c>
      <c r="X171" s="207" t="s">
        <v>3022</v>
      </c>
      <c r="Y171" s="207" t="s">
        <v>3023</v>
      </c>
      <c r="Z171" s="207"/>
    </row>
    <row r="172" spans="1:26" ht="120">
      <c r="A172" s="206" t="s">
        <v>832</v>
      </c>
      <c r="B172" s="207" t="s">
        <v>832</v>
      </c>
      <c r="C172" s="207" t="s">
        <v>1498</v>
      </c>
      <c r="D172" s="207" t="s">
        <v>2257</v>
      </c>
      <c r="E172" s="208" t="s">
        <v>1600</v>
      </c>
      <c r="F172" s="209" t="s">
        <v>2258</v>
      </c>
      <c r="G172" s="207" t="s">
        <v>2259</v>
      </c>
      <c r="H172" s="207" t="s">
        <v>2260</v>
      </c>
      <c r="I172" s="207" t="s">
        <v>2261</v>
      </c>
      <c r="J172" s="207" t="s">
        <v>832</v>
      </c>
      <c r="K172" s="207" t="s">
        <v>832</v>
      </c>
      <c r="L172" s="210" t="s">
        <v>1245</v>
      </c>
      <c r="M172" s="207" t="s">
        <v>915</v>
      </c>
      <c r="N172" s="207" t="s">
        <v>957</v>
      </c>
      <c r="O172" s="207" t="s">
        <v>1008</v>
      </c>
      <c r="P172" s="207" t="s">
        <v>1051</v>
      </c>
      <c r="Q172" s="207" t="s">
        <v>1093</v>
      </c>
      <c r="R172" s="207" t="s">
        <v>1136</v>
      </c>
      <c r="S172" s="207" t="s">
        <v>1192</v>
      </c>
      <c r="T172" s="207" t="s">
        <v>1290</v>
      </c>
      <c r="U172" s="207" t="s">
        <v>3024</v>
      </c>
      <c r="V172" s="207" t="s">
        <v>3025</v>
      </c>
      <c r="W172" s="207" t="s">
        <v>3026</v>
      </c>
      <c r="X172" s="207" t="s">
        <v>3027</v>
      </c>
      <c r="Y172" s="207" t="s">
        <v>3028</v>
      </c>
      <c r="Z172" s="207"/>
    </row>
    <row r="173" spans="1:26" ht="60">
      <c r="A173" s="206" t="s">
        <v>833</v>
      </c>
      <c r="B173" s="207" t="s">
        <v>833</v>
      </c>
      <c r="C173" s="207" t="s">
        <v>861</v>
      </c>
      <c r="D173" s="207" t="s">
        <v>2262</v>
      </c>
      <c r="E173" s="208" t="s">
        <v>966</v>
      </c>
      <c r="F173" s="209" t="s">
        <v>2263</v>
      </c>
      <c r="G173" s="207" t="s">
        <v>2264</v>
      </c>
      <c r="H173" s="207" t="s">
        <v>2265</v>
      </c>
      <c r="I173" s="207" t="s">
        <v>2266</v>
      </c>
      <c r="J173" s="207" t="s">
        <v>833</v>
      </c>
      <c r="K173" s="207" t="s">
        <v>833</v>
      </c>
      <c r="L173" s="210" t="s">
        <v>1246</v>
      </c>
      <c r="M173" s="207" t="s">
        <v>916</v>
      </c>
      <c r="N173" s="207" t="s">
        <v>958</v>
      </c>
      <c r="O173" s="207" t="s">
        <v>1009</v>
      </c>
      <c r="P173" s="207" t="s">
        <v>1052</v>
      </c>
      <c r="Q173" s="207" t="s">
        <v>1094</v>
      </c>
      <c r="R173" s="207" t="s">
        <v>1137</v>
      </c>
      <c r="S173" s="207" t="s">
        <v>1193</v>
      </c>
      <c r="T173" s="207" t="s">
        <v>1291</v>
      </c>
      <c r="U173" s="207" t="s">
        <v>3029</v>
      </c>
      <c r="V173" s="207" t="s">
        <v>3030</v>
      </c>
      <c r="W173" s="207" t="s">
        <v>3031</v>
      </c>
      <c r="X173" s="207" t="s">
        <v>3032</v>
      </c>
      <c r="Y173" s="207" t="s">
        <v>3033</v>
      </c>
      <c r="Z173" s="207"/>
    </row>
    <row r="174" spans="1:26" ht="45">
      <c r="A174" s="206" t="s">
        <v>834</v>
      </c>
      <c r="B174" s="207" t="s">
        <v>834</v>
      </c>
      <c r="C174" s="207" t="s">
        <v>1499</v>
      </c>
      <c r="D174" s="207" t="s">
        <v>2267</v>
      </c>
      <c r="E174" s="208" t="s">
        <v>967</v>
      </c>
      <c r="F174" s="209" t="s">
        <v>2268</v>
      </c>
      <c r="G174" s="207" t="s">
        <v>2269</v>
      </c>
      <c r="H174" s="207" t="s">
        <v>2270</v>
      </c>
      <c r="I174" s="207" t="s">
        <v>2271</v>
      </c>
      <c r="J174" s="207" t="s">
        <v>834</v>
      </c>
      <c r="K174" s="207" t="s">
        <v>834</v>
      </c>
      <c r="L174" s="210" t="s">
        <v>1247</v>
      </c>
      <c r="M174" s="207" t="s">
        <v>917</v>
      </c>
      <c r="N174" s="207" t="s">
        <v>959</v>
      </c>
      <c r="O174" s="207" t="s">
        <v>1010</v>
      </c>
      <c r="P174" s="207" t="s">
        <v>1053</v>
      </c>
      <c r="Q174" s="207" t="s">
        <v>1095</v>
      </c>
      <c r="R174" s="207" t="s">
        <v>1138</v>
      </c>
      <c r="S174" s="207" t="s">
        <v>1194</v>
      </c>
      <c r="T174" s="207" t="s">
        <v>1292</v>
      </c>
      <c r="U174" s="207" t="s">
        <v>3034</v>
      </c>
      <c r="V174" s="207" t="s">
        <v>3035</v>
      </c>
      <c r="W174" s="207" t="s">
        <v>3036</v>
      </c>
      <c r="X174" s="207" t="s">
        <v>3037</v>
      </c>
      <c r="Y174" s="207" t="s">
        <v>3038</v>
      </c>
      <c r="Z174" s="207"/>
    </row>
    <row r="175" spans="1:26" ht="90">
      <c r="A175" s="206" t="s">
        <v>835</v>
      </c>
      <c r="B175" s="207" t="s">
        <v>835</v>
      </c>
      <c r="C175" s="207" t="s">
        <v>862</v>
      </c>
      <c r="D175" s="207" t="s">
        <v>2272</v>
      </c>
      <c r="E175" s="208" t="s">
        <v>1601</v>
      </c>
      <c r="F175" s="209" t="s">
        <v>2273</v>
      </c>
      <c r="G175" s="207" t="s">
        <v>2274</v>
      </c>
      <c r="H175" s="207" t="s">
        <v>2275</v>
      </c>
      <c r="I175" s="207" t="s">
        <v>2276</v>
      </c>
      <c r="J175" s="207" t="s">
        <v>835</v>
      </c>
      <c r="K175" s="207" t="s">
        <v>835</v>
      </c>
      <c r="L175" s="210" t="s">
        <v>1248</v>
      </c>
      <c r="M175" s="207" t="s">
        <v>918</v>
      </c>
      <c r="N175" s="207" t="s">
        <v>960</v>
      </c>
      <c r="O175" s="207" t="s">
        <v>1011</v>
      </c>
      <c r="P175" s="207" t="s">
        <v>1054</v>
      </c>
      <c r="Q175" s="207" t="s">
        <v>1096</v>
      </c>
      <c r="R175" s="207" t="s">
        <v>1139</v>
      </c>
      <c r="S175" s="207" t="s">
        <v>1195</v>
      </c>
      <c r="T175" s="207" t="s">
        <v>1293</v>
      </c>
      <c r="U175" s="207" t="s">
        <v>3039</v>
      </c>
      <c r="V175" s="207" t="s">
        <v>3040</v>
      </c>
      <c r="W175" s="207" t="s">
        <v>3041</v>
      </c>
      <c r="X175" s="207" t="s">
        <v>3042</v>
      </c>
      <c r="Y175" s="207" t="s">
        <v>3043</v>
      </c>
      <c r="Z175" s="207"/>
    </row>
    <row r="176" spans="1:26" ht="135">
      <c r="A176" s="206" t="s">
        <v>836</v>
      </c>
      <c r="B176" s="207" t="s">
        <v>836</v>
      </c>
      <c r="C176" s="207" t="s">
        <v>863</v>
      </c>
      <c r="D176" s="207" t="s">
        <v>2277</v>
      </c>
      <c r="E176" s="208" t="s">
        <v>1602</v>
      </c>
      <c r="F176" s="209" t="s">
        <v>2278</v>
      </c>
      <c r="G176" s="207" t="s">
        <v>2279</v>
      </c>
      <c r="H176" s="207" t="s">
        <v>2280</v>
      </c>
      <c r="I176" s="207" t="s">
        <v>2281</v>
      </c>
      <c r="J176" s="207" t="s">
        <v>836</v>
      </c>
      <c r="K176" s="207" t="s">
        <v>836</v>
      </c>
      <c r="L176" s="210" t="s">
        <v>1249</v>
      </c>
      <c r="M176" s="207" t="s">
        <v>919</v>
      </c>
      <c r="N176" s="207" t="s">
        <v>961</v>
      </c>
      <c r="O176" s="207" t="s">
        <v>1012</v>
      </c>
      <c r="P176" s="207" t="s">
        <v>1055</v>
      </c>
      <c r="Q176" s="207" t="s">
        <v>1097</v>
      </c>
      <c r="R176" s="207" t="s">
        <v>1140</v>
      </c>
      <c r="S176" s="207" t="s">
        <v>1196</v>
      </c>
      <c r="T176" s="207" t="s">
        <v>1294</v>
      </c>
      <c r="U176" s="207" t="s">
        <v>3044</v>
      </c>
      <c r="V176" s="207" t="s">
        <v>3045</v>
      </c>
      <c r="W176" s="207" t="s">
        <v>3046</v>
      </c>
      <c r="X176" s="207" t="s">
        <v>3047</v>
      </c>
      <c r="Y176" s="207" t="s">
        <v>3048</v>
      </c>
      <c r="Z176" s="207"/>
    </row>
    <row r="177" spans="1:26" ht="17.25">
      <c r="A177" s="206"/>
      <c r="B177" s="207"/>
      <c r="C177" s="207"/>
      <c r="D177" s="207"/>
      <c r="E177" s="208"/>
      <c r="F177" s="209"/>
      <c r="G177" s="207"/>
      <c r="H177" s="207"/>
      <c r="I177" s="207"/>
      <c r="J177" s="207"/>
      <c r="K177" s="207"/>
      <c r="L177" s="210"/>
      <c r="M177" s="207"/>
      <c r="N177" s="207"/>
      <c r="O177" s="207"/>
      <c r="P177" s="207"/>
      <c r="Q177" s="207"/>
      <c r="R177" s="207"/>
      <c r="S177" s="207"/>
      <c r="T177" s="207"/>
      <c r="U177" s="207"/>
      <c r="V177" s="207"/>
      <c r="W177" s="207"/>
      <c r="X177" s="207"/>
      <c r="Y177" s="207"/>
      <c r="Z177" s="207"/>
    </row>
    <row r="178" spans="1:26" ht="17.25">
      <c r="A178" s="206"/>
      <c r="B178" s="207"/>
      <c r="C178" s="207"/>
      <c r="D178" s="207"/>
      <c r="E178" s="208"/>
      <c r="F178" s="207"/>
      <c r="G178" s="207"/>
      <c r="H178" s="207"/>
      <c r="I178" s="207"/>
      <c r="J178" s="207"/>
      <c r="K178" s="207"/>
      <c r="L178" s="210"/>
      <c r="M178" s="207"/>
      <c r="N178" s="207"/>
      <c r="O178" s="207"/>
      <c r="P178" s="207"/>
      <c r="Q178" s="207"/>
      <c r="R178" s="207"/>
      <c r="S178" s="207"/>
      <c r="T178" s="207"/>
      <c r="U178" s="207"/>
      <c r="V178" s="207"/>
      <c r="W178" s="207"/>
      <c r="X178" s="207"/>
      <c r="Y178" s="207"/>
      <c r="Z178" s="207"/>
    </row>
    <row r="179" spans="1:26" ht="17.25">
      <c r="A179" s="206"/>
      <c r="B179" s="207"/>
      <c r="C179" s="207"/>
      <c r="D179" s="207"/>
      <c r="E179" s="208"/>
      <c r="F179" s="207"/>
      <c r="G179" s="207"/>
      <c r="H179" s="207"/>
      <c r="I179" s="207"/>
      <c r="J179" s="207"/>
      <c r="K179" s="207"/>
      <c r="L179" s="210"/>
      <c r="M179" s="207"/>
      <c r="N179" s="207"/>
      <c r="O179" s="207"/>
      <c r="P179" s="207"/>
      <c r="Q179" s="207"/>
      <c r="R179" s="207"/>
      <c r="S179" s="207"/>
      <c r="T179" s="207"/>
      <c r="U179" s="207"/>
      <c r="V179" s="207"/>
      <c r="W179" s="207"/>
      <c r="X179" s="207"/>
      <c r="Y179" s="207"/>
      <c r="Z179" s="207"/>
    </row>
    <row r="180" spans="1:26" ht="17.25">
      <c r="A180" s="206"/>
      <c r="B180" s="207"/>
      <c r="C180" s="207"/>
      <c r="D180" s="207"/>
      <c r="E180" s="208"/>
      <c r="F180" s="207"/>
      <c r="G180" s="207"/>
      <c r="H180" s="207"/>
      <c r="I180" s="207"/>
      <c r="J180" s="207"/>
      <c r="K180" s="207"/>
      <c r="L180" s="210"/>
      <c r="M180" s="207"/>
      <c r="N180" s="207"/>
      <c r="O180" s="207"/>
      <c r="P180" s="207"/>
      <c r="Q180" s="207"/>
      <c r="R180" s="207"/>
      <c r="S180" s="207"/>
      <c r="T180" s="207"/>
      <c r="U180" s="207"/>
      <c r="V180" s="207"/>
      <c r="W180" s="207"/>
      <c r="X180" s="207"/>
      <c r="Y180" s="207"/>
      <c r="Z180" s="207"/>
    </row>
    <row r="181" spans="1:26" ht="17.25">
      <c r="A181" s="206"/>
      <c r="B181" s="207"/>
      <c r="C181" s="207"/>
      <c r="D181" s="207"/>
      <c r="E181" s="208"/>
      <c r="F181" s="207"/>
      <c r="G181" s="207"/>
      <c r="H181" s="207"/>
      <c r="I181" s="207"/>
      <c r="J181" s="207"/>
      <c r="K181" s="207"/>
      <c r="L181" s="210"/>
      <c r="M181" s="207"/>
      <c r="N181" s="207"/>
      <c r="O181" s="207"/>
      <c r="P181" s="207"/>
      <c r="Q181" s="207"/>
      <c r="R181" s="207"/>
      <c r="S181" s="207"/>
      <c r="T181" s="207"/>
      <c r="U181" s="207"/>
      <c r="V181" s="207"/>
      <c r="W181" s="207"/>
      <c r="X181" s="207"/>
      <c r="Y181" s="207"/>
      <c r="Z181" s="207"/>
    </row>
    <row r="182" spans="1:26" ht="17.25">
      <c r="A182" s="206"/>
      <c r="B182" s="207"/>
      <c r="C182" s="207"/>
      <c r="D182" s="207"/>
      <c r="E182" s="208"/>
      <c r="F182" s="207"/>
      <c r="G182" s="207"/>
      <c r="H182" s="207"/>
      <c r="I182" s="207"/>
      <c r="J182" s="207"/>
      <c r="K182" s="207"/>
      <c r="L182" s="210"/>
      <c r="M182" s="207"/>
      <c r="N182" s="207"/>
      <c r="O182" s="207"/>
      <c r="P182" s="207"/>
      <c r="Q182" s="207"/>
      <c r="R182" s="207"/>
      <c r="S182" s="207"/>
      <c r="T182" s="207"/>
      <c r="U182" s="207"/>
      <c r="V182" s="207"/>
      <c r="W182" s="207"/>
      <c r="X182" s="207"/>
      <c r="Y182" s="207"/>
      <c r="Z182" s="207"/>
    </row>
    <row r="183" spans="1:26" ht="17.25">
      <c r="A183" s="206"/>
      <c r="B183" s="207"/>
      <c r="C183" s="207"/>
      <c r="D183" s="207"/>
      <c r="E183" s="208"/>
      <c r="F183" s="207"/>
      <c r="G183" s="207"/>
      <c r="H183" s="207"/>
      <c r="I183" s="207"/>
      <c r="J183" s="207"/>
      <c r="K183" s="207"/>
      <c r="L183" s="210"/>
      <c r="M183" s="207"/>
      <c r="N183" s="207"/>
      <c r="O183" s="207"/>
      <c r="P183" s="207"/>
      <c r="Q183" s="207"/>
      <c r="R183" s="207"/>
      <c r="S183" s="207"/>
      <c r="T183" s="207"/>
      <c r="U183" s="207"/>
      <c r="V183" s="207"/>
      <c r="W183" s="207"/>
      <c r="X183" s="207"/>
      <c r="Y183" s="207"/>
      <c r="Z183" s="207"/>
    </row>
    <row r="184" spans="1:26" ht="17.25">
      <c r="A184" s="206"/>
      <c r="B184" s="207"/>
      <c r="C184" s="207"/>
      <c r="D184" s="207"/>
      <c r="E184" s="208"/>
      <c r="F184" s="207"/>
      <c r="G184" s="207"/>
      <c r="H184" s="207"/>
      <c r="I184" s="207"/>
      <c r="J184" s="207"/>
      <c r="K184" s="207"/>
      <c r="L184" s="210"/>
      <c r="M184" s="207"/>
      <c r="N184" s="207"/>
      <c r="O184" s="207"/>
      <c r="P184" s="207"/>
      <c r="Q184" s="207"/>
      <c r="R184" s="207"/>
      <c r="S184" s="207"/>
      <c r="T184" s="207"/>
      <c r="U184" s="207"/>
      <c r="V184" s="207"/>
      <c r="W184" s="207"/>
      <c r="X184" s="207"/>
      <c r="Y184" s="207"/>
      <c r="Z184" s="207"/>
    </row>
    <row r="185" spans="1:26" ht="17.25">
      <c r="A185" s="206"/>
      <c r="B185" s="207"/>
      <c r="C185" s="207"/>
      <c r="D185" s="207"/>
      <c r="E185" s="208"/>
      <c r="F185" s="207"/>
      <c r="G185" s="207"/>
      <c r="H185" s="207"/>
      <c r="I185" s="207"/>
      <c r="J185" s="207"/>
      <c r="K185" s="207"/>
      <c r="L185" s="210"/>
      <c r="M185" s="207"/>
      <c r="N185" s="207"/>
      <c r="O185" s="207"/>
      <c r="P185" s="207"/>
      <c r="Q185" s="207"/>
      <c r="R185" s="207"/>
      <c r="S185" s="207"/>
      <c r="T185" s="207"/>
      <c r="U185" s="207"/>
      <c r="V185" s="207"/>
      <c r="W185" s="207"/>
      <c r="X185" s="207"/>
      <c r="Y185" s="207"/>
      <c r="Z185" s="207"/>
    </row>
    <row r="186" spans="1:26" ht="17.25">
      <c r="A186" s="206"/>
      <c r="B186" s="207"/>
      <c r="C186" s="207"/>
      <c r="D186" s="207"/>
      <c r="E186" s="208"/>
      <c r="F186" s="207"/>
      <c r="G186" s="207"/>
      <c r="H186" s="207"/>
      <c r="I186" s="207"/>
      <c r="J186" s="207"/>
      <c r="K186" s="207"/>
      <c r="L186" s="210"/>
      <c r="M186" s="207"/>
      <c r="N186" s="207"/>
      <c r="O186" s="207"/>
      <c r="P186" s="207"/>
      <c r="Q186" s="207"/>
      <c r="R186" s="207"/>
      <c r="S186" s="207"/>
      <c r="T186" s="207"/>
      <c r="U186" s="207"/>
      <c r="V186" s="207"/>
      <c r="W186" s="207"/>
      <c r="X186" s="207"/>
      <c r="Y186" s="207"/>
      <c r="Z186" s="207"/>
    </row>
    <row r="187" spans="1:26" ht="17.25">
      <c r="A187" s="206"/>
      <c r="B187" s="207"/>
      <c r="C187" s="207"/>
      <c r="D187" s="207"/>
      <c r="E187" s="208"/>
      <c r="F187" s="207"/>
      <c r="G187" s="207"/>
      <c r="H187" s="207"/>
      <c r="I187" s="207"/>
      <c r="J187" s="207"/>
      <c r="K187" s="207"/>
      <c r="L187" s="210"/>
      <c r="M187" s="207"/>
      <c r="N187" s="207"/>
      <c r="O187" s="207"/>
      <c r="P187" s="207"/>
      <c r="Q187" s="207"/>
      <c r="R187" s="207"/>
      <c r="S187" s="207"/>
      <c r="T187" s="207"/>
      <c r="U187" s="207"/>
      <c r="V187" s="207"/>
      <c r="W187" s="207"/>
      <c r="X187" s="207"/>
      <c r="Y187" s="207"/>
      <c r="Z187" s="207"/>
    </row>
    <row r="188" spans="1:26" ht="17.25">
      <c r="A188" s="206"/>
      <c r="B188" s="207"/>
      <c r="C188" s="207"/>
      <c r="D188" s="207"/>
      <c r="E188" s="208"/>
      <c r="F188" s="207"/>
      <c r="G188" s="207"/>
      <c r="H188" s="207"/>
      <c r="I188" s="207"/>
      <c r="J188" s="207"/>
      <c r="K188" s="207"/>
      <c r="L188" s="210"/>
      <c r="M188" s="207"/>
      <c r="N188" s="207"/>
      <c r="O188" s="207"/>
      <c r="P188" s="207"/>
      <c r="Q188" s="207"/>
      <c r="R188" s="207"/>
      <c r="S188" s="207"/>
      <c r="T188" s="207"/>
      <c r="U188" s="207"/>
      <c r="V188" s="207"/>
      <c r="W188" s="207"/>
      <c r="X188" s="207"/>
      <c r="Y188" s="207"/>
      <c r="Z188" s="207"/>
    </row>
    <row r="189" spans="1:26" ht="17.25">
      <c r="A189" s="218"/>
      <c r="B189" s="221"/>
      <c r="C189" s="221"/>
      <c r="D189" s="221"/>
      <c r="E189" s="222"/>
      <c r="F189" s="221"/>
      <c r="G189" s="221"/>
      <c r="H189" s="221"/>
      <c r="I189" s="221"/>
      <c r="J189" s="221"/>
      <c r="K189" s="221"/>
      <c r="L189" s="224"/>
      <c r="M189" s="221"/>
      <c r="N189" s="221"/>
      <c r="O189" s="221"/>
      <c r="P189" s="221"/>
      <c r="Q189" s="221"/>
      <c r="R189" s="221"/>
      <c r="S189" s="221"/>
      <c r="T189" s="221"/>
      <c r="U189" s="221"/>
      <c r="V189" s="221"/>
      <c r="W189" s="221"/>
      <c r="X189" s="221"/>
      <c r="Y189" s="221"/>
      <c r="Z189" s="221"/>
    </row>
    <row r="190" spans="1:26" ht="17.25">
      <c r="A190" s="196" t="s">
        <v>2282</v>
      </c>
      <c r="B190" s="197"/>
      <c r="C190" s="197"/>
      <c r="D190" s="197"/>
      <c r="E190" s="198"/>
      <c r="F190" s="199"/>
      <c r="G190" s="197"/>
      <c r="H190" s="197"/>
      <c r="I190" s="197"/>
      <c r="J190" s="197"/>
      <c r="K190" s="197"/>
      <c r="L190" s="200"/>
      <c r="M190" s="197"/>
      <c r="N190" s="197"/>
      <c r="O190" s="197"/>
      <c r="P190" s="197"/>
      <c r="Q190" s="197"/>
      <c r="R190" s="197"/>
      <c r="S190" s="197"/>
      <c r="T190" s="197"/>
      <c r="U190" s="197" t="s">
        <v>3049</v>
      </c>
      <c r="V190" s="197" t="s">
        <v>3050</v>
      </c>
      <c r="W190" s="197" t="s">
        <v>3051</v>
      </c>
      <c r="X190" s="197" t="s">
        <v>3052</v>
      </c>
      <c r="Y190" s="197" t="s">
        <v>3053</v>
      </c>
      <c r="Z190" s="197"/>
    </row>
    <row r="191" spans="1:26" ht="17.25">
      <c r="A191" s="227" t="s">
        <v>1613</v>
      </c>
      <c r="B191" s="228" t="s">
        <v>1613</v>
      </c>
      <c r="C191" s="228" t="s">
        <v>3054</v>
      </c>
      <c r="D191" s="228" t="s">
        <v>3055</v>
      </c>
      <c r="E191" s="229" t="s">
        <v>3056</v>
      </c>
      <c r="F191" s="228" t="s">
        <v>3057</v>
      </c>
      <c r="G191" s="228" t="s">
        <v>3058</v>
      </c>
      <c r="H191" s="228" t="s">
        <v>3059</v>
      </c>
      <c r="I191" s="228" t="s">
        <v>3060</v>
      </c>
      <c r="J191" s="228" t="s">
        <v>1613</v>
      </c>
      <c r="K191" s="228" t="s">
        <v>1613</v>
      </c>
      <c r="L191" s="230" t="s">
        <v>3061</v>
      </c>
      <c r="M191" s="228" t="s">
        <v>3062</v>
      </c>
      <c r="N191" s="228" t="s">
        <v>3063</v>
      </c>
      <c r="O191" s="228" t="s">
        <v>3064</v>
      </c>
      <c r="P191" s="228" t="s">
        <v>3065</v>
      </c>
      <c r="Q191" s="228" t="s">
        <v>3066</v>
      </c>
      <c r="R191" s="228" t="s">
        <v>3067</v>
      </c>
      <c r="S191" s="228" t="s">
        <v>3068</v>
      </c>
      <c r="T191" s="228" t="s">
        <v>3069</v>
      </c>
      <c r="U191" s="228" t="s">
        <v>3070</v>
      </c>
      <c r="V191" s="228" t="s">
        <v>3071</v>
      </c>
      <c r="W191" s="228" t="s">
        <v>3067</v>
      </c>
      <c r="X191" s="228" t="s">
        <v>3072</v>
      </c>
      <c r="Y191" s="228" t="s">
        <v>3073</v>
      </c>
      <c r="Z191" s="228"/>
    </row>
    <row r="192" spans="1:26" ht="17.25">
      <c r="A192" s="214" t="s">
        <v>1615</v>
      </c>
      <c r="B192" s="217" t="s">
        <v>1615</v>
      </c>
      <c r="C192" s="217" t="s">
        <v>2290</v>
      </c>
      <c r="D192" s="217" t="s">
        <v>2292</v>
      </c>
      <c r="E192" s="231" t="s">
        <v>2294</v>
      </c>
      <c r="F192" s="217" t="s">
        <v>2298</v>
      </c>
      <c r="G192" s="217" t="s">
        <v>2301</v>
      </c>
      <c r="H192" s="217" t="s">
        <v>2304</v>
      </c>
      <c r="I192" s="217" t="s">
        <v>2537</v>
      </c>
      <c r="J192" s="217" t="s">
        <v>1615</v>
      </c>
      <c r="K192" s="217" t="s">
        <v>1615</v>
      </c>
      <c r="L192" s="216" t="s">
        <v>2538</v>
      </c>
      <c r="M192" s="217" t="s">
        <v>2539</v>
      </c>
      <c r="N192" s="217" t="s">
        <v>2290</v>
      </c>
      <c r="O192" s="217" t="s">
        <v>2540</v>
      </c>
      <c r="P192" s="217" t="s">
        <v>2541</v>
      </c>
      <c r="Q192" s="217" t="s">
        <v>2542</v>
      </c>
      <c r="R192" s="217" t="s">
        <v>2548</v>
      </c>
      <c r="S192" s="217" t="s">
        <v>2544</v>
      </c>
      <c r="T192" s="217" t="s">
        <v>2545</v>
      </c>
      <c r="U192" s="217" t="s">
        <v>2546</v>
      </c>
      <c r="V192" s="217" t="s">
        <v>2547</v>
      </c>
      <c r="W192" s="217" t="s">
        <v>2548</v>
      </c>
      <c r="X192" s="217" t="s">
        <v>2549</v>
      </c>
      <c r="Y192" s="217" t="s">
        <v>2550</v>
      </c>
      <c r="Z192" s="217"/>
    </row>
    <row r="193" spans="1:26" ht="17.25">
      <c r="A193" s="214" t="s">
        <v>1614</v>
      </c>
      <c r="B193" s="217" t="s">
        <v>1614</v>
      </c>
      <c r="C193" s="217" t="s">
        <v>3074</v>
      </c>
      <c r="D193" s="217" t="s">
        <v>2293</v>
      </c>
      <c r="E193" s="231" t="s">
        <v>2295</v>
      </c>
      <c r="F193" s="217" t="s">
        <v>2299</v>
      </c>
      <c r="G193" s="217" t="s">
        <v>2302</v>
      </c>
      <c r="H193" s="217" t="s">
        <v>2305</v>
      </c>
      <c r="I193" s="217" t="s">
        <v>2551</v>
      </c>
      <c r="J193" s="217" t="s">
        <v>1614</v>
      </c>
      <c r="K193" s="217" t="s">
        <v>1614</v>
      </c>
      <c r="L193" s="216" t="s">
        <v>2552</v>
      </c>
      <c r="M193" s="217" t="s">
        <v>2553</v>
      </c>
      <c r="N193" s="217" t="s">
        <v>2554</v>
      </c>
      <c r="O193" s="217" t="s">
        <v>2555</v>
      </c>
      <c r="P193" s="217" t="s">
        <v>2556</v>
      </c>
      <c r="Q193" s="217" t="s">
        <v>2557</v>
      </c>
      <c r="R193" s="217" t="s">
        <v>2563</v>
      </c>
      <c r="S193" s="217" t="s">
        <v>2559</v>
      </c>
      <c r="T193" s="217" t="s">
        <v>2560</v>
      </c>
      <c r="U193" s="217" t="s">
        <v>2561</v>
      </c>
      <c r="V193" s="217" t="s">
        <v>2562</v>
      </c>
      <c r="W193" s="217" t="s">
        <v>2563</v>
      </c>
      <c r="X193" s="217" t="s">
        <v>2564</v>
      </c>
      <c r="Y193" s="217" t="s">
        <v>2565</v>
      </c>
      <c r="Z193" s="217"/>
    </row>
    <row r="194" spans="1:26" ht="17.25">
      <c r="A194" s="214" t="s">
        <v>1643</v>
      </c>
      <c r="B194" s="217" t="s">
        <v>1643</v>
      </c>
      <c r="C194" s="217" t="s">
        <v>3075</v>
      </c>
      <c r="D194" s="217" t="s">
        <v>3076</v>
      </c>
      <c r="E194" s="231" t="s">
        <v>3077</v>
      </c>
      <c r="F194" s="217" t="s">
        <v>3078</v>
      </c>
      <c r="G194" s="217" t="s">
        <v>3079</v>
      </c>
      <c r="H194" s="217" t="s">
        <v>3080</v>
      </c>
      <c r="I194" s="217" t="s">
        <v>3081</v>
      </c>
      <c r="J194" s="217" t="s">
        <v>1643</v>
      </c>
      <c r="K194" s="217" t="s">
        <v>1643</v>
      </c>
      <c r="L194" s="216" t="s">
        <v>3082</v>
      </c>
      <c r="M194" s="217" t="s">
        <v>3083</v>
      </c>
      <c r="N194" s="217" t="s">
        <v>3084</v>
      </c>
      <c r="O194" s="217" t="s">
        <v>3085</v>
      </c>
      <c r="P194" s="217" t="s">
        <v>3086</v>
      </c>
      <c r="Q194" s="217" t="s">
        <v>3087</v>
      </c>
      <c r="R194" s="217" t="s">
        <v>3088</v>
      </c>
      <c r="S194" s="217" t="s">
        <v>3089</v>
      </c>
      <c r="T194" s="217" t="s">
        <v>3090</v>
      </c>
      <c r="U194" s="217" t="s">
        <v>3091</v>
      </c>
      <c r="V194" s="217" t="s">
        <v>3092</v>
      </c>
      <c r="W194" s="217" t="s">
        <v>3088</v>
      </c>
      <c r="X194" s="217" t="s">
        <v>3093</v>
      </c>
      <c r="Y194" s="217" t="s">
        <v>3094</v>
      </c>
      <c r="Z194" s="217"/>
    </row>
    <row r="195" spans="1:26" ht="17.25">
      <c r="A195" s="214" t="s">
        <v>1644</v>
      </c>
      <c r="B195" s="217" t="s">
        <v>1644</v>
      </c>
      <c r="C195" s="217" t="s">
        <v>3095</v>
      </c>
      <c r="D195" s="217" t="s">
        <v>3096</v>
      </c>
      <c r="E195" s="231" t="s">
        <v>3097</v>
      </c>
      <c r="F195" s="217" t="s">
        <v>3098</v>
      </c>
      <c r="G195" s="217" t="s">
        <v>1644</v>
      </c>
      <c r="H195" s="217" t="s">
        <v>1644</v>
      </c>
      <c r="I195" s="217" t="s">
        <v>3099</v>
      </c>
      <c r="J195" s="217" t="s">
        <v>1644</v>
      </c>
      <c r="K195" s="217" t="s">
        <v>1644</v>
      </c>
      <c r="L195" s="216" t="s">
        <v>3100</v>
      </c>
      <c r="M195" s="217" t="s">
        <v>3101</v>
      </c>
      <c r="N195" s="217" t="s">
        <v>3102</v>
      </c>
      <c r="O195" s="217" t="s">
        <v>3103</v>
      </c>
      <c r="P195" s="217" t="s">
        <v>3104</v>
      </c>
      <c r="Q195" s="217" t="s">
        <v>1644</v>
      </c>
      <c r="R195" s="217" t="s">
        <v>3105</v>
      </c>
      <c r="S195" s="217" t="s">
        <v>3106</v>
      </c>
      <c r="T195" s="217" t="s">
        <v>3107</v>
      </c>
      <c r="U195" s="217" t="s">
        <v>3108</v>
      </c>
      <c r="V195" s="217" t="s">
        <v>3109</v>
      </c>
      <c r="W195" s="217" t="s">
        <v>3105</v>
      </c>
      <c r="X195" s="217" t="s">
        <v>3110</v>
      </c>
      <c r="Y195" s="217" t="s">
        <v>3111</v>
      </c>
      <c r="Z195" s="217"/>
    </row>
    <row r="196" spans="1:26" ht="17.25">
      <c r="A196" s="214" t="s">
        <v>1608</v>
      </c>
      <c r="B196" s="217" t="s">
        <v>1608</v>
      </c>
      <c r="C196" s="217" t="s">
        <v>1610</v>
      </c>
      <c r="D196" s="217" t="s">
        <v>3112</v>
      </c>
      <c r="E196" s="231" t="s">
        <v>1609</v>
      </c>
      <c r="F196" s="217" t="s">
        <v>3113</v>
      </c>
      <c r="G196" s="217" t="s">
        <v>3114</v>
      </c>
      <c r="H196" s="217" t="s">
        <v>3115</v>
      </c>
      <c r="I196" s="217" t="s">
        <v>3116</v>
      </c>
      <c r="J196" s="217" t="s">
        <v>1608</v>
      </c>
      <c r="K196" s="217" t="s">
        <v>1608</v>
      </c>
      <c r="L196" s="216" t="s">
        <v>3117</v>
      </c>
      <c r="M196" s="217" t="s">
        <v>3118</v>
      </c>
      <c r="N196" s="217" t="s">
        <v>3119</v>
      </c>
      <c r="O196" s="217" t="s">
        <v>3120</v>
      </c>
      <c r="P196" s="217" t="s">
        <v>3121</v>
      </c>
      <c r="Q196" s="217" t="s">
        <v>3122</v>
      </c>
      <c r="R196" s="217" t="s">
        <v>3123</v>
      </c>
      <c r="S196" s="217" t="s">
        <v>1633</v>
      </c>
      <c r="T196" s="217" t="s">
        <v>3124</v>
      </c>
      <c r="U196" s="217" t="s">
        <v>3125</v>
      </c>
      <c r="V196" s="217" t="s">
        <v>3126</v>
      </c>
      <c r="W196" s="217" t="s">
        <v>3123</v>
      </c>
      <c r="X196" s="217" t="s">
        <v>3127</v>
      </c>
      <c r="Y196" s="217" t="s">
        <v>3128</v>
      </c>
      <c r="Z196" s="217"/>
    </row>
    <row r="197" spans="1:26" ht="17.25">
      <c r="A197" s="214" t="s">
        <v>1611</v>
      </c>
      <c r="B197" s="217" t="s">
        <v>1611</v>
      </c>
      <c r="C197" s="217" t="s">
        <v>1623</v>
      </c>
      <c r="D197" s="217" t="s">
        <v>3129</v>
      </c>
      <c r="E197" s="231" t="s">
        <v>1612</v>
      </c>
      <c r="F197" s="217" t="s">
        <v>3130</v>
      </c>
      <c r="G197" s="217" t="s">
        <v>3131</v>
      </c>
      <c r="H197" s="217" t="s">
        <v>3132</v>
      </c>
      <c r="I197" s="217" t="s">
        <v>3133</v>
      </c>
      <c r="J197" s="217" t="s">
        <v>1611</v>
      </c>
      <c r="K197" s="217" t="s">
        <v>1611</v>
      </c>
      <c r="L197" s="216" t="s">
        <v>3134</v>
      </c>
      <c r="M197" s="217" t="s">
        <v>3135</v>
      </c>
      <c r="N197" s="217" t="s">
        <v>3136</v>
      </c>
      <c r="O197" s="217" t="s">
        <v>3137</v>
      </c>
      <c r="P197" s="217" t="s">
        <v>3138</v>
      </c>
      <c r="Q197" s="217" t="s">
        <v>3139</v>
      </c>
      <c r="R197" s="217" t="s">
        <v>3140</v>
      </c>
      <c r="S197" s="217" t="s">
        <v>1634</v>
      </c>
      <c r="T197" s="217" t="s">
        <v>3141</v>
      </c>
      <c r="U197" s="217" t="s">
        <v>3142</v>
      </c>
      <c r="V197" s="217" t="s">
        <v>3143</v>
      </c>
      <c r="W197" s="217" t="s">
        <v>3140</v>
      </c>
      <c r="X197" s="217" t="s">
        <v>3144</v>
      </c>
      <c r="Y197" s="217" t="s">
        <v>3145</v>
      </c>
      <c r="Z197" s="217"/>
    </row>
    <row r="198" spans="1:26" ht="17.25">
      <c r="A198" s="206"/>
      <c r="B198" s="207"/>
      <c r="C198" s="207"/>
      <c r="D198" s="207"/>
      <c r="E198" s="208"/>
      <c r="F198" s="207"/>
      <c r="G198" s="207"/>
      <c r="H198" s="207"/>
      <c r="I198" s="207"/>
      <c r="J198" s="207"/>
      <c r="K198" s="207"/>
      <c r="L198" s="210"/>
      <c r="M198" s="207"/>
      <c r="N198" s="207"/>
      <c r="O198" s="207"/>
      <c r="P198" s="207"/>
      <c r="Q198" s="207"/>
      <c r="R198" s="207"/>
      <c r="S198" s="207"/>
      <c r="T198" s="207"/>
      <c r="U198" s="207"/>
      <c r="V198" s="207"/>
      <c r="W198" s="207"/>
      <c r="X198" s="207"/>
      <c r="Y198" s="207"/>
      <c r="Z198" s="207"/>
    </row>
    <row r="199" spans="1:26" ht="17.25">
      <c r="A199" s="206"/>
      <c r="B199" s="207"/>
      <c r="C199" s="207"/>
      <c r="D199" s="207"/>
      <c r="E199" s="208"/>
      <c r="F199" s="207"/>
      <c r="G199" s="207"/>
      <c r="H199" s="207"/>
      <c r="I199" s="207"/>
      <c r="J199" s="207"/>
      <c r="K199" s="207"/>
      <c r="L199" s="210"/>
      <c r="M199" s="207"/>
      <c r="N199" s="207"/>
      <c r="O199" s="207"/>
      <c r="P199" s="207"/>
      <c r="Q199" s="207"/>
      <c r="R199" s="207"/>
      <c r="S199" s="207"/>
      <c r="T199" s="207"/>
      <c r="U199" s="207"/>
      <c r="V199" s="207"/>
      <c r="W199" s="207"/>
      <c r="X199" s="207"/>
      <c r="Y199" s="207"/>
      <c r="Z199" s="207"/>
    </row>
    <row r="200" spans="1:26" ht="17.25">
      <c r="A200" s="206"/>
      <c r="B200" s="207"/>
      <c r="C200" s="207"/>
      <c r="D200" s="207"/>
      <c r="E200" s="208"/>
      <c r="F200" s="207"/>
      <c r="G200" s="207"/>
      <c r="H200" s="207"/>
      <c r="I200" s="207"/>
      <c r="J200" s="207"/>
      <c r="K200" s="207"/>
      <c r="L200" s="210"/>
      <c r="M200" s="207"/>
      <c r="N200" s="207"/>
      <c r="O200" s="207"/>
      <c r="P200" s="207"/>
      <c r="Q200" s="207"/>
      <c r="R200" s="207"/>
      <c r="S200" s="207"/>
      <c r="T200" s="207"/>
      <c r="U200" s="207"/>
      <c r="V200" s="207"/>
      <c r="W200" s="207"/>
      <c r="X200" s="207"/>
      <c r="Y200" s="207"/>
      <c r="Z200" s="207"/>
    </row>
    <row r="201" spans="1:26" ht="60">
      <c r="A201" s="214" t="s">
        <v>1616</v>
      </c>
      <c r="B201" s="217" t="s">
        <v>1616</v>
      </c>
      <c r="C201" s="217" t="s">
        <v>1625</v>
      </c>
      <c r="D201" s="217" t="s">
        <v>3146</v>
      </c>
      <c r="E201" s="231" t="s">
        <v>1624</v>
      </c>
      <c r="F201" s="217" t="s">
        <v>3147</v>
      </c>
      <c r="G201" s="217" t="s">
        <v>3148</v>
      </c>
      <c r="H201" s="217" t="s">
        <v>3149</v>
      </c>
      <c r="I201" s="217" t="s">
        <v>3150</v>
      </c>
      <c r="J201" s="217" t="s">
        <v>1616</v>
      </c>
      <c r="K201" s="217" t="s">
        <v>1616</v>
      </c>
      <c r="L201" s="216" t="s">
        <v>3151</v>
      </c>
      <c r="M201" s="217" t="s">
        <v>3152</v>
      </c>
      <c r="N201" s="217" t="s">
        <v>3153</v>
      </c>
      <c r="O201" s="217" t="s">
        <v>3154</v>
      </c>
      <c r="P201" s="217" t="s">
        <v>3155</v>
      </c>
      <c r="Q201" s="217" t="s">
        <v>3156</v>
      </c>
      <c r="R201" s="217" t="s">
        <v>3157</v>
      </c>
      <c r="S201" s="217" t="s">
        <v>1635</v>
      </c>
      <c r="T201" s="217" t="s">
        <v>3158</v>
      </c>
      <c r="U201" s="217" t="s">
        <v>3159</v>
      </c>
      <c r="V201" s="217" t="s">
        <v>3160</v>
      </c>
      <c r="W201" s="217" t="s">
        <v>3157</v>
      </c>
      <c r="X201" s="217" t="s">
        <v>3161</v>
      </c>
      <c r="Y201" s="217" t="s">
        <v>3162</v>
      </c>
      <c r="Z201" s="217"/>
    </row>
    <row r="202" spans="1:26" ht="69">
      <c r="A202" s="214" t="s">
        <v>1617</v>
      </c>
      <c r="B202" s="217" t="s">
        <v>1617</v>
      </c>
      <c r="C202" s="217" t="s">
        <v>3163</v>
      </c>
      <c r="D202" s="217" t="s">
        <v>3164</v>
      </c>
      <c r="E202" s="231" t="s">
        <v>1626</v>
      </c>
      <c r="F202" s="217" t="s">
        <v>3165</v>
      </c>
      <c r="G202" s="217" t="s">
        <v>3166</v>
      </c>
      <c r="H202" s="217" t="s">
        <v>3167</v>
      </c>
      <c r="I202" s="217" t="s">
        <v>3168</v>
      </c>
      <c r="J202" s="217" t="s">
        <v>1617</v>
      </c>
      <c r="K202" s="217" t="s">
        <v>1617</v>
      </c>
      <c r="L202" s="216" t="s">
        <v>3169</v>
      </c>
      <c r="M202" s="217" t="s">
        <v>3170</v>
      </c>
      <c r="N202" s="217" t="s">
        <v>3171</v>
      </c>
      <c r="O202" s="217" t="s">
        <v>3172</v>
      </c>
      <c r="P202" s="217" t="s">
        <v>3173</v>
      </c>
      <c r="Q202" s="217" t="s">
        <v>3174</v>
      </c>
      <c r="R202" s="217" t="s">
        <v>3175</v>
      </c>
      <c r="S202" s="217" t="s">
        <v>1636</v>
      </c>
      <c r="T202" s="217" t="s">
        <v>3176</v>
      </c>
      <c r="U202" s="217" t="s">
        <v>3177</v>
      </c>
      <c r="V202" s="217" t="s">
        <v>3178</v>
      </c>
      <c r="W202" s="217" t="s">
        <v>3175</v>
      </c>
      <c r="X202" s="217" t="s">
        <v>3179</v>
      </c>
      <c r="Y202" s="217" t="s">
        <v>3180</v>
      </c>
      <c r="Z202" s="217"/>
    </row>
    <row r="203" spans="1:26" ht="69">
      <c r="A203" s="214" t="s">
        <v>1618</v>
      </c>
      <c r="B203" s="217" t="s">
        <v>1618</v>
      </c>
      <c r="C203" s="217" t="s">
        <v>3181</v>
      </c>
      <c r="D203" s="217" t="s">
        <v>3182</v>
      </c>
      <c r="E203" s="231" t="s">
        <v>1627</v>
      </c>
      <c r="F203" s="217" t="s">
        <v>3183</v>
      </c>
      <c r="G203" s="217" t="s">
        <v>3184</v>
      </c>
      <c r="H203" s="217" t="s">
        <v>3185</v>
      </c>
      <c r="I203" s="217" t="s">
        <v>3186</v>
      </c>
      <c r="J203" s="217" t="s">
        <v>1618</v>
      </c>
      <c r="K203" s="217" t="s">
        <v>1618</v>
      </c>
      <c r="L203" s="216" t="s">
        <v>3187</v>
      </c>
      <c r="M203" s="217" t="s">
        <v>3188</v>
      </c>
      <c r="N203" s="217" t="s">
        <v>3189</v>
      </c>
      <c r="O203" s="217" t="s">
        <v>3190</v>
      </c>
      <c r="P203" s="217" t="s">
        <v>3191</v>
      </c>
      <c r="Q203" s="217" t="s">
        <v>3192</v>
      </c>
      <c r="R203" s="217" t="s">
        <v>3193</v>
      </c>
      <c r="S203" s="217" t="s">
        <v>1637</v>
      </c>
      <c r="T203" s="217" t="s">
        <v>3194</v>
      </c>
      <c r="U203" s="217" t="s">
        <v>3195</v>
      </c>
      <c r="V203" s="217" t="s">
        <v>3196</v>
      </c>
      <c r="W203" s="217" t="s">
        <v>3193</v>
      </c>
      <c r="X203" s="217" t="s">
        <v>3197</v>
      </c>
      <c r="Y203" s="217" t="s">
        <v>3198</v>
      </c>
      <c r="Z203" s="217"/>
    </row>
    <row r="204" spans="1:26" ht="69">
      <c r="A204" s="214" t="s">
        <v>1619</v>
      </c>
      <c r="B204" s="217" t="s">
        <v>1619</v>
      </c>
      <c r="C204" s="217" t="s">
        <v>3199</v>
      </c>
      <c r="D204" s="217" t="s">
        <v>3200</v>
      </c>
      <c r="E204" s="231" t="s">
        <v>1628</v>
      </c>
      <c r="F204" s="217" t="s">
        <v>3201</v>
      </c>
      <c r="G204" s="217" t="s">
        <v>3202</v>
      </c>
      <c r="H204" s="217" t="s">
        <v>3203</v>
      </c>
      <c r="I204" s="217" t="s">
        <v>3204</v>
      </c>
      <c r="J204" s="217" t="s">
        <v>1619</v>
      </c>
      <c r="K204" s="217" t="s">
        <v>1619</v>
      </c>
      <c r="L204" s="216" t="s">
        <v>3205</v>
      </c>
      <c r="M204" s="217" t="s">
        <v>3206</v>
      </c>
      <c r="N204" s="217" t="s">
        <v>3207</v>
      </c>
      <c r="O204" s="217" t="s">
        <v>3208</v>
      </c>
      <c r="P204" s="217" t="s">
        <v>3209</v>
      </c>
      <c r="Q204" s="217" t="s">
        <v>3210</v>
      </c>
      <c r="R204" s="217" t="s">
        <v>3211</v>
      </c>
      <c r="S204" s="217" t="s">
        <v>1638</v>
      </c>
      <c r="T204" s="217" t="s">
        <v>3212</v>
      </c>
      <c r="U204" s="217" t="s">
        <v>3213</v>
      </c>
      <c r="V204" s="217" t="s">
        <v>3214</v>
      </c>
      <c r="W204" s="217" t="s">
        <v>3211</v>
      </c>
      <c r="X204" s="217" t="s">
        <v>3215</v>
      </c>
      <c r="Y204" s="217" t="s">
        <v>3216</v>
      </c>
      <c r="Z204" s="217"/>
    </row>
    <row r="205" spans="1:26" ht="69">
      <c r="A205" s="214" t="s">
        <v>1620</v>
      </c>
      <c r="B205" s="217" t="s">
        <v>1620</v>
      </c>
      <c r="C205" s="217" t="s">
        <v>3217</v>
      </c>
      <c r="D205" s="217" t="s">
        <v>3218</v>
      </c>
      <c r="E205" s="231" t="s">
        <v>1629</v>
      </c>
      <c r="F205" s="217" t="s">
        <v>3219</v>
      </c>
      <c r="G205" s="217" t="s">
        <v>3220</v>
      </c>
      <c r="H205" s="217" t="s">
        <v>3221</v>
      </c>
      <c r="I205" s="217" t="s">
        <v>3222</v>
      </c>
      <c r="J205" s="217" t="s">
        <v>1620</v>
      </c>
      <c r="K205" s="217" t="s">
        <v>1620</v>
      </c>
      <c r="L205" s="216" t="s">
        <v>3223</v>
      </c>
      <c r="M205" s="217" t="s">
        <v>3224</v>
      </c>
      <c r="N205" s="217" t="s">
        <v>3225</v>
      </c>
      <c r="O205" s="217" t="s">
        <v>3226</v>
      </c>
      <c r="P205" s="217" t="s">
        <v>3227</v>
      </c>
      <c r="Q205" s="217" t="s">
        <v>3228</v>
      </c>
      <c r="R205" s="217" t="s">
        <v>3229</v>
      </c>
      <c r="S205" s="217" t="s">
        <v>1639</v>
      </c>
      <c r="T205" s="217" t="s">
        <v>3230</v>
      </c>
      <c r="U205" s="217" t="s">
        <v>3231</v>
      </c>
      <c r="V205" s="217" t="s">
        <v>3232</v>
      </c>
      <c r="W205" s="217" t="s">
        <v>3229</v>
      </c>
      <c r="X205" s="217" t="s">
        <v>3233</v>
      </c>
      <c r="Y205" s="217" t="s">
        <v>3234</v>
      </c>
      <c r="Z205" s="217"/>
    </row>
    <row r="206" spans="1:26" ht="17.25">
      <c r="A206" s="206"/>
      <c r="B206" s="207"/>
      <c r="C206" s="207"/>
      <c r="D206" s="207"/>
      <c r="E206" s="208"/>
      <c r="F206" s="207"/>
      <c r="G206" s="207"/>
      <c r="H206" s="207"/>
      <c r="I206" s="207"/>
      <c r="J206" s="207"/>
      <c r="K206" s="207"/>
      <c r="L206" s="210"/>
      <c r="M206" s="207"/>
      <c r="N206" s="207"/>
      <c r="O206" s="207"/>
      <c r="P206" s="207"/>
      <c r="Q206" s="207"/>
      <c r="R206" s="207"/>
      <c r="S206" s="207"/>
      <c r="T206" s="207"/>
      <c r="U206" s="207"/>
      <c r="V206" s="207"/>
      <c r="W206" s="207"/>
      <c r="X206" s="207"/>
      <c r="Y206" s="207"/>
      <c r="Z206" s="207"/>
    </row>
    <row r="207" spans="1:26" ht="51.75">
      <c r="A207" s="214" t="s">
        <v>1621</v>
      </c>
      <c r="B207" s="217" t="s">
        <v>1621</v>
      </c>
      <c r="C207" s="217" t="s">
        <v>3235</v>
      </c>
      <c r="D207" s="217" t="s">
        <v>3236</v>
      </c>
      <c r="E207" s="231" t="s">
        <v>1630</v>
      </c>
      <c r="F207" s="217" t="s">
        <v>3237</v>
      </c>
      <c r="G207" s="217" t="s">
        <v>3238</v>
      </c>
      <c r="H207" s="217" t="s">
        <v>3239</v>
      </c>
      <c r="I207" s="217" t="s">
        <v>3240</v>
      </c>
      <c r="J207" s="217" t="s">
        <v>1621</v>
      </c>
      <c r="K207" s="217" t="s">
        <v>1621</v>
      </c>
      <c r="L207" s="216" t="s">
        <v>3241</v>
      </c>
      <c r="M207" s="217" t="s">
        <v>3242</v>
      </c>
      <c r="N207" s="217" t="s">
        <v>3243</v>
      </c>
      <c r="O207" s="217" t="s">
        <v>3244</v>
      </c>
      <c r="P207" s="217" t="s">
        <v>3245</v>
      </c>
      <c r="Q207" s="217" t="s">
        <v>3246</v>
      </c>
      <c r="R207" s="217" t="s">
        <v>3247</v>
      </c>
      <c r="S207" s="217" t="s">
        <v>1640</v>
      </c>
      <c r="T207" s="217" t="s">
        <v>3248</v>
      </c>
      <c r="U207" s="217" t="s">
        <v>3249</v>
      </c>
      <c r="V207" s="217" t="s">
        <v>3250</v>
      </c>
      <c r="W207" s="217" t="s">
        <v>3247</v>
      </c>
      <c r="X207" s="217" t="s">
        <v>3251</v>
      </c>
      <c r="Y207" s="217" t="s">
        <v>3252</v>
      </c>
      <c r="Z207" s="217"/>
    </row>
    <row r="208" spans="1:26" ht="60">
      <c r="A208" s="214" t="s">
        <v>1622</v>
      </c>
      <c r="B208" s="217" t="s">
        <v>1622</v>
      </c>
      <c r="C208" s="217" t="s">
        <v>1632</v>
      </c>
      <c r="D208" s="217" t="s">
        <v>3253</v>
      </c>
      <c r="E208" s="231" t="s">
        <v>1631</v>
      </c>
      <c r="F208" s="217" t="s">
        <v>3254</v>
      </c>
      <c r="G208" s="217" t="s">
        <v>3255</v>
      </c>
      <c r="H208" s="217" t="s">
        <v>3256</v>
      </c>
      <c r="I208" s="217" t="s">
        <v>3257</v>
      </c>
      <c r="J208" s="217" t="s">
        <v>1622</v>
      </c>
      <c r="K208" s="217" t="s">
        <v>1622</v>
      </c>
      <c r="L208" s="216" t="s">
        <v>3258</v>
      </c>
      <c r="M208" s="217" t="s">
        <v>3259</v>
      </c>
      <c r="N208" s="217" t="s">
        <v>3260</v>
      </c>
      <c r="O208" s="217" t="s">
        <v>3261</v>
      </c>
      <c r="P208" s="217" t="s">
        <v>3262</v>
      </c>
      <c r="Q208" s="217" t="s">
        <v>3263</v>
      </c>
      <c r="R208" s="217" t="s">
        <v>3264</v>
      </c>
      <c r="S208" s="217" t="s">
        <v>1641</v>
      </c>
      <c r="T208" s="217" t="s">
        <v>3265</v>
      </c>
      <c r="U208" s="217" t="s">
        <v>3266</v>
      </c>
      <c r="V208" s="217" t="s">
        <v>3267</v>
      </c>
      <c r="W208" s="217" t="s">
        <v>3264</v>
      </c>
      <c r="X208" s="217" t="s">
        <v>3268</v>
      </c>
      <c r="Y208" s="217" t="s">
        <v>3269</v>
      </c>
      <c r="Z208" s="217"/>
    </row>
    <row r="209" spans="1:26" ht="17.25">
      <c r="A209" s="206"/>
      <c r="B209" s="207"/>
      <c r="C209" s="207"/>
      <c r="D209" s="207"/>
      <c r="E209" s="208"/>
      <c r="F209" s="207"/>
      <c r="G209" s="207"/>
      <c r="H209" s="207"/>
      <c r="I209" s="207"/>
      <c r="J209" s="207"/>
      <c r="K209" s="207"/>
      <c r="L209" s="210"/>
      <c r="M209" s="207"/>
      <c r="N209" s="207"/>
      <c r="O209" s="207"/>
      <c r="P209" s="207"/>
      <c r="Q209" s="207"/>
      <c r="R209" s="207"/>
      <c r="S209" s="207"/>
      <c r="T209" s="207"/>
      <c r="U209" s="207"/>
      <c r="V209" s="207"/>
      <c r="W209" s="207"/>
      <c r="X209" s="207"/>
      <c r="Y209" s="207"/>
      <c r="Z209" s="207"/>
    </row>
    <row r="210" spans="1:26" ht="17.25">
      <c r="A210" s="206"/>
      <c r="B210" s="207"/>
      <c r="C210" s="207"/>
      <c r="D210" s="207"/>
      <c r="E210" s="208"/>
      <c r="F210" s="207"/>
      <c r="G210" s="207"/>
      <c r="H210" s="207"/>
      <c r="I210" s="207"/>
      <c r="J210" s="207"/>
      <c r="K210" s="207"/>
      <c r="L210" s="210"/>
      <c r="M210" s="207"/>
      <c r="N210" s="207"/>
      <c r="O210" s="207"/>
      <c r="P210" s="207"/>
      <c r="Q210" s="207"/>
      <c r="R210" s="207"/>
      <c r="S210" s="207"/>
      <c r="T210" s="207"/>
      <c r="U210" s="207"/>
      <c r="V210" s="207"/>
      <c r="W210" s="207"/>
      <c r="X210" s="207"/>
      <c r="Y210" s="207"/>
      <c r="Z210" s="207"/>
    </row>
    <row r="211" spans="1:26" ht="17.25">
      <c r="A211" s="206"/>
      <c r="B211" s="207"/>
      <c r="C211" s="207"/>
      <c r="D211" s="207"/>
      <c r="E211" s="208"/>
      <c r="F211" s="207"/>
      <c r="G211" s="207"/>
      <c r="H211" s="207"/>
      <c r="I211" s="207"/>
      <c r="J211" s="207"/>
      <c r="K211" s="207"/>
      <c r="L211" s="210"/>
      <c r="M211" s="207"/>
      <c r="N211" s="207"/>
      <c r="O211" s="207"/>
      <c r="P211" s="207"/>
      <c r="Q211" s="207"/>
      <c r="R211" s="207"/>
      <c r="S211" s="207"/>
      <c r="T211" s="207"/>
      <c r="U211" s="207"/>
      <c r="V211" s="207"/>
      <c r="W211" s="207"/>
      <c r="X211" s="207"/>
      <c r="Y211" s="207"/>
      <c r="Z211" s="207"/>
    </row>
    <row r="212" spans="1:26" ht="17.25">
      <c r="A212" s="206"/>
      <c r="B212" s="207"/>
      <c r="C212" s="207"/>
      <c r="D212" s="207"/>
      <c r="E212" s="208"/>
      <c r="F212" s="207"/>
      <c r="G212" s="207"/>
      <c r="H212" s="207"/>
      <c r="I212" s="207"/>
      <c r="J212" s="207"/>
      <c r="K212" s="207"/>
      <c r="L212" s="210"/>
      <c r="M212" s="207"/>
      <c r="N212" s="207"/>
      <c r="O212" s="207"/>
      <c r="P212" s="207"/>
      <c r="Q212" s="207"/>
      <c r="R212" s="207"/>
      <c r="S212" s="207"/>
      <c r="T212" s="207"/>
      <c r="U212" s="207"/>
      <c r="V212" s="207"/>
      <c r="W212" s="207"/>
      <c r="X212" s="207"/>
      <c r="Y212" s="207"/>
      <c r="Z212" s="207"/>
    </row>
    <row r="213" spans="1:26" ht="17.25">
      <c r="A213" s="206"/>
      <c r="B213" s="207"/>
      <c r="C213" s="207"/>
      <c r="D213" s="207"/>
      <c r="E213" s="208"/>
      <c r="F213" s="207"/>
      <c r="G213" s="207"/>
      <c r="H213" s="207"/>
      <c r="I213" s="207"/>
      <c r="J213" s="207"/>
      <c r="K213" s="207"/>
      <c r="L213" s="210"/>
      <c r="M213" s="207"/>
      <c r="N213" s="207"/>
      <c r="O213" s="207"/>
      <c r="P213" s="207"/>
      <c r="Q213" s="207"/>
      <c r="R213" s="207"/>
      <c r="S213" s="207"/>
      <c r="T213" s="207"/>
      <c r="U213" s="207"/>
      <c r="V213" s="207"/>
      <c r="W213" s="207"/>
      <c r="X213" s="207"/>
      <c r="Y213" s="207"/>
      <c r="Z213" s="207"/>
    </row>
    <row r="214" spans="1:26" ht="17.25">
      <c r="A214" s="206"/>
      <c r="B214" s="207"/>
      <c r="C214" s="207"/>
      <c r="D214" s="207"/>
      <c r="E214" s="208"/>
      <c r="F214" s="207"/>
      <c r="G214" s="207"/>
      <c r="H214" s="207"/>
      <c r="I214" s="207"/>
      <c r="J214" s="207"/>
      <c r="K214" s="207"/>
      <c r="L214" s="210"/>
      <c r="M214" s="207"/>
      <c r="N214" s="207"/>
      <c r="O214" s="207"/>
      <c r="P214" s="207"/>
      <c r="Q214" s="207"/>
      <c r="R214" s="207"/>
      <c r="S214" s="207"/>
      <c r="T214" s="207"/>
      <c r="U214" s="207"/>
      <c r="V214" s="207"/>
      <c r="W214" s="207"/>
      <c r="X214" s="207"/>
      <c r="Y214" s="207"/>
      <c r="Z214" s="207"/>
    </row>
    <row r="215" spans="1:26" ht="17.25">
      <c r="A215" s="206"/>
      <c r="B215" s="207"/>
      <c r="C215" s="207"/>
      <c r="D215" s="207"/>
      <c r="E215" s="208"/>
      <c r="F215" s="207"/>
      <c r="G215" s="207"/>
      <c r="H215" s="207"/>
      <c r="I215" s="207"/>
      <c r="J215" s="207"/>
      <c r="K215" s="207"/>
      <c r="L215" s="210"/>
      <c r="M215" s="207"/>
      <c r="N215" s="207"/>
      <c r="O215" s="207"/>
      <c r="P215" s="207"/>
      <c r="Q215" s="207"/>
      <c r="R215" s="207"/>
      <c r="S215" s="207"/>
      <c r="T215" s="207"/>
      <c r="U215" s="207"/>
      <c r="V215" s="207"/>
      <c r="W215" s="207"/>
      <c r="X215" s="207"/>
      <c r="Y215" s="207"/>
      <c r="Z215" s="207"/>
    </row>
    <row r="216" spans="1:26" ht="17.25">
      <c r="A216" s="206"/>
      <c r="B216" s="207"/>
      <c r="C216" s="207"/>
      <c r="D216" s="207"/>
      <c r="E216" s="208"/>
      <c r="F216" s="207"/>
      <c r="G216" s="207"/>
      <c r="H216" s="207"/>
      <c r="I216" s="207"/>
      <c r="J216" s="207"/>
      <c r="K216" s="207"/>
      <c r="L216" s="210"/>
      <c r="M216" s="207"/>
      <c r="N216" s="207"/>
      <c r="O216" s="207"/>
      <c r="P216" s="207"/>
      <c r="Q216" s="207"/>
      <c r="R216" s="207"/>
      <c r="S216" s="207"/>
      <c r="T216" s="207"/>
      <c r="U216" s="207"/>
      <c r="V216" s="207"/>
      <c r="W216" s="207"/>
      <c r="X216" s="207"/>
      <c r="Y216" s="207"/>
      <c r="Z216" s="207"/>
    </row>
    <row r="217" spans="1:26" ht="17.25">
      <c r="A217" s="206"/>
      <c r="B217" s="207"/>
      <c r="C217" s="207"/>
      <c r="D217" s="207"/>
      <c r="E217" s="208"/>
      <c r="F217" s="207"/>
      <c r="G217" s="207"/>
      <c r="H217" s="207"/>
      <c r="I217" s="207"/>
      <c r="J217" s="207"/>
      <c r="K217" s="207"/>
      <c r="L217" s="210"/>
      <c r="M217" s="207"/>
      <c r="N217" s="207"/>
      <c r="O217" s="207"/>
      <c r="P217" s="207"/>
      <c r="Q217" s="207"/>
      <c r="R217" s="207"/>
      <c r="S217" s="207"/>
      <c r="T217" s="207"/>
      <c r="U217" s="207"/>
      <c r="V217" s="207"/>
      <c r="W217" s="207"/>
      <c r="X217" s="207"/>
      <c r="Y217" s="207"/>
      <c r="Z217" s="207"/>
    </row>
    <row r="218" spans="1:26" ht="17.25">
      <c r="A218" s="206"/>
      <c r="B218" s="207"/>
      <c r="C218" s="207"/>
      <c r="D218" s="207"/>
      <c r="E218" s="208"/>
      <c r="F218" s="207"/>
      <c r="G218" s="207"/>
      <c r="H218" s="207"/>
      <c r="I218" s="207"/>
      <c r="J218" s="207"/>
      <c r="K218" s="207"/>
      <c r="L218" s="210"/>
      <c r="M218" s="207"/>
      <c r="N218" s="207"/>
      <c r="O218" s="207"/>
      <c r="P218" s="207"/>
      <c r="Q218" s="207"/>
      <c r="R218" s="207"/>
      <c r="S218" s="207"/>
      <c r="T218" s="207"/>
      <c r="U218" s="207"/>
      <c r="V218" s="207"/>
      <c r="W218" s="207"/>
      <c r="X218" s="207"/>
      <c r="Y218" s="207"/>
      <c r="Z218" s="207"/>
    </row>
    <row r="219" spans="1:26" ht="17.25">
      <c r="A219" s="206"/>
      <c r="B219" s="207"/>
      <c r="C219" s="207"/>
      <c r="D219" s="207"/>
      <c r="E219" s="208"/>
      <c r="F219" s="207"/>
      <c r="G219" s="207"/>
      <c r="H219" s="207"/>
      <c r="I219" s="207"/>
      <c r="J219" s="207"/>
      <c r="K219" s="207"/>
      <c r="L219" s="210"/>
      <c r="M219" s="207"/>
      <c r="N219" s="207"/>
      <c r="O219" s="207"/>
      <c r="P219" s="207"/>
      <c r="Q219" s="207"/>
      <c r="R219" s="207"/>
      <c r="S219" s="207"/>
      <c r="T219" s="207"/>
      <c r="U219" s="207"/>
      <c r="V219" s="207"/>
      <c r="W219" s="207"/>
      <c r="X219" s="207"/>
      <c r="Y219" s="207"/>
      <c r="Z219" s="207"/>
    </row>
    <row r="220" spans="1:26" ht="17.25">
      <c r="A220" s="206"/>
      <c r="B220" s="207"/>
      <c r="C220" s="207"/>
      <c r="D220" s="207"/>
      <c r="E220" s="208"/>
      <c r="F220" s="207"/>
      <c r="G220" s="207"/>
      <c r="H220" s="207"/>
      <c r="I220" s="207"/>
      <c r="J220" s="207"/>
      <c r="K220" s="207"/>
      <c r="L220" s="210"/>
      <c r="M220" s="207"/>
      <c r="N220" s="207"/>
      <c r="O220" s="207"/>
      <c r="P220" s="207"/>
      <c r="Q220" s="207"/>
      <c r="R220" s="207"/>
      <c r="S220" s="207"/>
      <c r="T220" s="207"/>
      <c r="U220" s="207"/>
      <c r="V220" s="207"/>
      <c r="W220" s="207"/>
      <c r="X220" s="207"/>
      <c r="Y220" s="207"/>
      <c r="Z220" s="207"/>
    </row>
    <row r="221" spans="1:26" ht="17.25">
      <c r="A221" s="206"/>
      <c r="B221" s="207"/>
      <c r="C221" s="207"/>
      <c r="D221" s="207"/>
      <c r="E221" s="208"/>
      <c r="F221" s="207"/>
      <c r="G221" s="207"/>
      <c r="H221" s="207"/>
      <c r="I221" s="207"/>
      <c r="J221" s="207"/>
      <c r="K221" s="207"/>
      <c r="L221" s="210"/>
      <c r="M221" s="207"/>
      <c r="N221" s="207"/>
      <c r="O221" s="207"/>
      <c r="P221" s="207"/>
      <c r="Q221" s="207"/>
      <c r="R221" s="207"/>
      <c r="S221" s="207"/>
      <c r="T221" s="207"/>
      <c r="U221" s="207"/>
      <c r="V221" s="207"/>
      <c r="W221" s="207"/>
      <c r="X221" s="207"/>
      <c r="Y221" s="207"/>
      <c r="Z221" s="207"/>
    </row>
    <row r="222" spans="1:26" ht="17.25">
      <c r="A222" s="206"/>
      <c r="B222" s="207"/>
      <c r="C222" s="207"/>
      <c r="D222" s="207"/>
      <c r="E222" s="208"/>
      <c r="F222" s="207"/>
      <c r="G222" s="207"/>
      <c r="H222" s="207"/>
      <c r="I222" s="207"/>
      <c r="J222" s="207"/>
      <c r="K222" s="207"/>
      <c r="L222" s="210"/>
      <c r="M222" s="207"/>
      <c r="N222" s="207"/>
      <c r="O222" s="207"/>
      <c r="P222" s="207"/>
      <c r="Q222" s="207"/>
      <c r="R222" s="207"/>
      <c r="S222" s="207"/>
      <c r="T222" s="207"/>
      <c r="U222" s="207"/>
      <c r="V222" s="207"/>
      <c r="W222" s="207"/>
      <c r="X222" s="207"/>
      <c r="Y222" s="207"/>
      <c r="Z222" s="207"/>
    </row>
    <row r="223" spans="1:26" ht="17.25">
      <c r="A223" s="206"/>
      <c r="B223" s="207"/>
      <c r="C223" s="207"/>
      <c r="D223" s="207"/>
      <c r="E223" s="208"/>
      <c r="F223" s="207"/>
      <c r="G223" s="207"/>
      <c r="H223" s="207"/>
      <c r="I223" s="207"/>
      <c r="J223" s="207"/>
      <c r="K223" s="207"/>
      <c r="L223" s="210"/>
      <c r="M223" s="207"/>
      <c r="N223" s="207"/>
      <c r="O223" s="207"/>
      <c r="P223" s="207"/>
      <c r="Q223" s="207"/>
      <c r="R223" s="207"/>
      <c r="S223" s="207"/>
      <c r="T223" s="207"/>
      <c r="U223" s="207"/>
      <c r="V223" s="207"/>
      <c r="W223" s="207"/>
      <c r="X223" s="207"/>
      <c r="Y223" s="207"/>
      <c r="Z223" s="207"/>
    </row>
    <row r="224" spans="1:26" ht="17.25">
      <c r="A224" s="206"/>
      <c r="B224" s="207"/>
      <c r="C224" s="207"/>
      <c r="D224" s="207"/>
      <c r="E224" s="208"/>
      <c r="F224" s="207"/>
      <c r="G224" s="207"/>
      <c r="H224" s="207"/>
      <c r="I224" s="207"/>
      <c r="J224" s="207"/>
      <c r="K224" s="207"/>
      <c r="L224" s="210"/>
      <c r="M224" s="207"/>
      <c r="N224" s="207"/>
      <c r="O224" s="207"/>
      <c r="P224" s="207"/>
      <c r="Q224" s="207"/>
      <c r="R224" s="207"/>
      <c r="S224" s="207"/>
      <c r="T224" s="207"/>
      <c r="U224" s="207"/>
      <c r="V224" s="207"/>
      <c r="W224" s="207"/>
      <c r="X224" s="207"/>
      <c r="Y224" s="207"/>
      <c r="Z224" s="207"/>
    </row>
    <row r="225" spans="1:26" ht="17.25">
      <c r="A225" s="206"/>
      <c r="B225" s="207"/>
      <c r="C225" s="207"/>
      <c r="D225" s="207"/>
      <c r="E225" s="208"/>
      <c r="F225" s="207"/>
      <c r="G225" s="207"/>
      <c r="H225" s="207"/>
      <c r="I225" s="207"/>
      <c r="J225" s="207"/>
      <c r="K225" s="207"/>
      <c r="L225" s="210"/>
      <c r="M225" s="207"/>
      <c r="N225" s="207"/>
      <c r="O225" s="207"/>
      <c r="P225" s="207"/>
      <c r="Q225" s="207"/>
      <c r="R225" s="207"/>
      <c r="S225" s="207"/>
      <c r="T225" s="207"/>
      <c r="U225" s="207"/>
      <c r="V225" s="207"/>
      <c r="W225" s="207"/>
      <c r="X225" s="207"/>
      <c r="Y225" s="207"/>
      <c r="Z225" s="207"/>
    </row>
    <row r="226" spans="1:26" ht="17.25">
      <c r="A226" s="206"/>
      <c r="B226" s="207"/>
      <c r="C226" s="207"/>
      <c r="D226" s="207"/>
      <c r="E226" s="208"/>
      <c r="F226" s="207"/>
      <c r="G226" s="207"/>
      <c r="H226" s="207"/>
      <c r="I226" s="207"/>
      <c r="J226" s="207"/>
      <c r="K226" s="207"/>
      <c r="L226" s="210"/>
      <c r="M226" s="207"/>
      <c r="N226" s="207"/>
      <c r="O226" s="207"/>
      <c r="P226" s="207"/>
      <c r="Q226" s="207"/>
      <c r="R226" s="207"/>
      <c r="S226" s="207"/>
      <c r="T226" s="207"/>
      <c r="U226" s="207"/>
      <c r="V226" s="207"/>
      <c r="W226" s="207"/>
      <c r="X226" s="207"/>
      <c r="Y226" s="207"/>
      <c r="Z226" s="207"/>
    </row>
    <row r="227" spans="1:26" ht="17.25">
      <c r="A227" s="206"/>
      <c r="B227" s="207"/>
      <c r="C227" s="207"/>
      <c r="D227" s="207"/>
      <c r="E227" s="208"/>
      <c r="F227" s="207"/>
      <c r="G227" s="207"/>
      <c r="H227" s="207"/>
      <c r="I227" s="207"/>
      <c r="J227" s="207"/>
      <c r="K227" s="207"/>
      <c r="L227" s="210"/>
      <c r="M227" s="207"/>
      <c r="N227" s="207"/>
      <c r="O227" s="207"/>
      <c r="P227" s="207"/>
      <c r="Q227" s="207"/>
      <c r="R227" s="207"/>
      <c r="S227" s="207"/>
      <c r="T227" s="207"/>
      <c r="U227" s="207"/>
      <c r="V227" s="207"/>
      <c r="W227" s="207"/>
      <c r="X227" s="207"/>
      <c r="Y227" s="207"/>
      <c r="Z227" s="207"/>
    </row>
    <row r="228" spans="1:26" ht="17.25">
      <c r="A228" s="206"/>
      <c r="B228" s="207"/>
      <c r="C228" s="207"/>
      <c r="D228" s="207"/>
      <c r="E228" s="208"/>
      <c r="F228" s="207"/>
      <c r="G228" s="207"/>
      <c r="H228" s="207"/>
      <c r="I228" s="207"/>
      <c r="J228" s="207"/>
      <c r="K228" s="207"/>
      <c r="L228" s="210"/>
      <c r="M228" s="207"/>
      <c r="N228" s="207"/>
      <c r="O228" s="207"/>
      <c r="P228" s="207"/>
      <c r="Q228" s="207"/>
      <c r="R228" s="207"/>
      <c r="S228" s="207"/>
      <c r="T228" s="207"/>
      <c r="U228" s="207"/>
      <c r="V228" s="207"/>
      <c r="W228" s="207"/>
      <c r="X228" s="207"/>
      <c r="Y228" s="207"/>
      <c r="Z228" s="207"/>
    </row>
    <row r="229" spans="1:26" ht="17.25">
      <c r="A229" s="206"/>
      <c r="B229" s="207"/>
      <c r="C229" s="207"/>
      <c r="D229" s="207"/>
      <c r="E229" s="208"/>
      <c r="F229" s="207"/>
      <c r="G229" s="207"/>
      <c r="H229" s="207"/>
      <c r="I229" s="207"/>
      <c r="J229" s="207"/>
      <c r="K229" s="207"/>
      <c r="L229" s="210"/>
      <c r="M229" s="207"/>
      <c r="N229" s="207"/>
      <c r="O229" s="207"/>
      <c r="P229" s="207"/>
      <c r="Q229" s="207"/>
      <c r="R229" s="207"/>
      <c r="S229" s="207"/>
      <c r="T229" s="207"/>
      <c r="U229" s="207"/>
      <c r="V229" s="207"/>
      <c r="W229" s="207"/>
      <c r="X229" s="207"/>
      <c r="Y229" s="207"/>
      <c r="Z229" s="207"/>
    </row>
    <row r="230" spans="1:26" ht="17.25">
      <c r="A230" s="206"/>
      <c r="B230" s="207"/>
      <c r="C230" s="207"/>
      <c r="D230" s="207"/>
      <c r="E230" s="208"/>
      <c r="F230" s="207"/>
      <c r="G230" s="207"/>
      <c r="H230" s="207"/>
      <c r="I230" s="207"/>
      <c r="J230" s="207"/>
      <c r="K230" s="207"/>
      <c r="L230" s="210"/>
      <c r="M230" s="207"/>
      <c r="N230" s="207"/>
      <c r="O230" s="207"/>
      <c r="P230" s="207"/>
      <c r="Q230" s="207"/>
      <c r="R230" s="207"/>
      <c r="S230" s="207"/>
      <c r="T230" s="207"/>
      <c r="U230" s="207"/>
      <c r="V230" s="207"/>
      <c r="W230" s="207"/>
      <c r="X230" s="207"/>
      <c r="Y230" s="207"/>
      <c r="Z230" s="207"/>
    </row>
    <row r="231" spans="1:26" ht="17.25">
      <c r="A231" s="206"/>
      <c r="B231" s="207"/>
      <c r="C231" s="207"/>
      <c r="D231" s="207"/>
      <c r="E231" s="208"/>
      <c r="F231" s="207"/>
      <c r="G231" s="207"/>
      <c r="H231" s="207"/>
      <c r="I231" s="207"/>
      <c r="J231" s="207"/>
      <c r="K231" s="207"/>
      <c r="L231" s="210"/>
      <c r="M231" s="207"/>
      <c r="N231" s="207"/>
      <c r="O231" s="207"/>
      <c r="P231" s="207"/>
      <c r="Q231" s="207"/>
      <c r="R231" s="207"/>
      <c r="S231" s="207"/>
      <c r="T231" s="207"/>
      <c r="U231" s="207"/>
      <c r="V231" s="207"/>
      <c r="W231" s="207"/>
      <c r="X231" s="207"/>
      <c r="Y231" s="207"/>
      <c r="Z231" s="207"/>
    </row>
    <row r="232" spans="1:26" ht="17.25">
      <c r="A232" s="206"/>
      <c r="B232" s="207"/>
      <c r="C232" s="207"/>
      <c r="D232" s="207"/>
      <c r="E232" s="208"/>
      <c r="F232" s="207"/>
      <c r="G232" s="207"/>
      <c r="H232" s="207"/>
      <c r="I232" s="207"/>
      <c r="J232" s="207"/>
      <c r="K232" s="207"/>
      <c r="L232" s="210"/>
      <c r="M232" s="207"/>
      <c r="N232" s="207"/>
      <c r="O232" s="207"/>
      <c r="P232" s="207"/>
      <c r="Q232" s="207"/>
      <c r="R232" s="207"/>
      <c r="S232" s="207"/>
      <c r="T232" s="207"/>
      <c r="U232" s="207"/>
      <c r="V232" s="207"/>
      <c r="W232" s="207"/>
      <c r="X232" s="207"/>
      <c r="Y232" s="207"/>
      <c r="Z232" s="207"/>
    </row>
    <row r="233" spans="1:26" ht="17.25">
      <c r="A233" s="206"/>
      <c r="B233" s="207"/>
      <c r="C233" s="207"/>
      <c r="D233" s="207"/>
      <c r="E233" s="208"/>
      <c r="F233" s="207"/>
      <c r="G233" s="207"/>
      <c r="H233" s="207"/>
      <c r="I233" s="207"/>
      <c r="J233" s="207"/>
      <c r="K233" s="207"/>
      <c r="L233" s="210"/>
      <c r="M233" s="207"/>
      <c r="N233" s="207"/>
      <c r="O233" s="207"/>
      <c r="P233" s="207"/>
      <c r="Q233" s="207"/>
      <c r="R233" s="207"/>
      <c r="S233" s="207"/>
      <c r="T233" s="207"/>
      <c r="U233" s="207"/>
      <c r="V233" s="207"/>
      <c r="W233" s="207"/>
      <c r="X233" s="207"/>
      <c r="Y233" s="207"/>
      <c r="Z233" s="207"/>
    </row>
    <row r="234" spans="1:26" ht="17.25">
      <c r="A234" s="206"/>
      <c r="B234" s="207"/>
      <c r="C234" s="207"/>
      <c r="D234" s="207"/>
      <c r="E234" s="208"/>
      <c r="F234" s="207"/>
      <c r="G234" s="207"/>
      <c r="H234" s="207"/>
      <c r="I234" s="207"/>
      <c r="J234" s="207"/>
      <c r="K234" s="207"/>
      <c r="L234" s="210"/>
      <c r="M234" s="207"/>
      <c r="N234" s="207"/>
      <c r="O234" s="207"/>
      <c r="P234" s="207"/>
      <c r="Q234" s="207"/>
      <c r="R234" s="207"/>
      <c r="S234" s="207"/>
      <c r="T234" s="207"/>
      <c r="U234" s="207"/>
      <c r="V234" s="207"/>
      <c r="W234" s="207"/>
      <c r="X234" s="207"/>
      <c r="Y234" s="207"/>
      <c r="Z234" s="207"/>
    </row>
    <row r="235" spans="1:26" ht="17.25">
      <c r="A235" s="206"/>
      <c r="B235" s="207"/>
      <c r="C235" s="207"/>
      <c r="D235" s="207"/>
      <c r="E235" s="208"/>
      <c r="F235" s="207"/>
      <c r="G235" s="207"/>
      <c r="H235" s="207"/>
      <c r="I235" s="207"/>
      <c r="J235" s="207"/>
      <c r="K235" s="207"/>
      <c r="L235" s="210"/>
      <c r="M235" s="207"/>
      <c r="N235" s="207"/>
      <c r="O235" s="207"/>
      <c r="P235" s="207"/>
      <c r="Q235" s="207"/>
      <c r="R235" s="207"/>
      <c r="S235" s="207"/>
      <c r="T235" s="207"/>
      <c r="U235" s="207"/>
      <c r="V235" s="207"/>
      <c r="W235" s="207"/>
      <c r="X235" s="207"/>
      <c r="Y235" s="207"/>
      <c r="Z235" s="207"/>
    </row>
    <row r="236" spans="1:26" ht="17.25">
      <c r="A236" s="206"/>
      <c r="B236" s="207"/>
      <c r="C236" s="207"/>
      <c r="D236" s="207"/>
      <c r="E236" s="208"/>
      <c r="F236" s="207"/>
      <c r="G236" s="207"/>
      <c r="H236" s="207"/>
      <c r="I236" s="207"/>
      <c r="J236" s="207"/>
      <c r="K236" s="207"/>
      <c r="L236" s="210"/>
      <c r="M236" s="207"/>
      <c r="N236" s="207"/>
      <c r="O236" s="207"/>
      <c r="P236" s="207"/>
      <c r="Q236" s="207"/>
      <c r="R236" s="207"/>
      <c r="S236" s="207"/>
      <c r="T236" s="207"/>
      <c r="U236" s="207"/>
      <c r="V236" s="207"/>
      <c r="W236" s="207"/>
      <c r="X236" s="207"/>
      <c r="Y236" s="207"/>
      <c r="Z236" s="207"/>
    </row>
    <row r="237" spans="1:26" ht="17.25">
      <c r="A237" s="206"/>
      <c r="B237" s="207"/>
      <c r="C237" s="207"/>
      <c r="D237" s="207"/>
      <c r="E237" s="208"/>
      <c r="F237" s="207"/>
      <c r="G237" s="207"/>
      <c r="H237" s="207"/>
      <c r="I237" s="207"/>
      <c r="J237" s="207"/>
      <c r="K237" s="207"/>
      <c r="L237" s="210"/>
      <c r="M237" s="207"/>
      <c r="N237" s="207"/>
      <c r="O237" s="207"/>
      <c r="P237" s="207"/>
      <c r="Q237" s="207"/>
      <c r="R237" s="207"/>
      <c r="S237" s="207"/>
      <c r="T237" s="207"/>
      <c r="U237" s="207"/>
      <c r="V237" s="207"/>
      <c r="W237" s="207"/>
      <c r="X237" s="207"/>
      <c r="Y237" s="207"/>
      <c r="Z237" s="207"/>
    </row>
    <row r="238" spans="1:26" ht="17.25">
      <c r="A238" s="206"/>
      <c r="B238" s="207"/>
      <c r="C238" s="207"/>
      <c r="D238" s="207"/>
      <c r="E238" s="208"/>
      <c r="F238" s="207"/>
      <c r="G238" s="207"/>
      <c r="H238" s="207"/>
      <c r="I238" s="207"/>
      <c r="J238" s="207"/>
      <c r="K238" s="207"/>
      <c r="L238" s="210"/>
      <c r="M238" s="207"/>
      <c r="N238" s="207"/>
      <c r="O238" s="207"/>
      <c r="P238" s="207"/>
      <c r="Q238" s="207"/>
      <c r="R238" s="207"/>
      <c r="S238" s="207"/>
      <c r="T238" s="207"/>
      <c r="U238" s="207"/>
      <c r="V238" s="207"/>
      <c r="W238" s="207"/>
      <c r="X238" s="207"/>
      <c r="Y238" s="207"/>
      <c r="Z238" s="207"/>
    </row>
    <row r="239" spans="1:26" ht="17.25">
      <c r="A239" s="206"/>
      <c r="B239" s="207"/>
      <c r="C239" s="207"/>
      <c r="D239" s="207"/>
      <c r="E239" s="208"/>
      <c r="F239" s="207"/>
      <c r="G239" s="207"/>
      <c r="H239" s="207"/>
      <c r="I239" s="207"/>
      <c r="J239" s="207"/>
      <c r="K239" s="207"/>
      <c r="L239" s="210"/>
      <c r="M239" s="207"/>
      <c r="N239" s="207"/>
      <c r="O239" s="207"/>
      <c r="P239" s="207"/>
      <c r="Q239" s="207"/>
      <c r="R239" s="207"/>
      <c r="S239" s="207"/>
      <c r="T239" s="207"/>
      <c r="U239" s="207"/>
      <c r="V239" s="207"/>
      <c r="W239" s="207"/>
      <c r="X239" s="207"/>
      <c r="Y239" s="207"/>
      <c r="Z239" s="207"/>
    </row>
    <row r="240" spans="1:26" ht="17.25">
      <c r="A240" s="206"/>
      <c r="B240" s="207"/>
      <c r="C240" s="207"/>
      <c r="D240" s="207"/>
      <c r="E240" s="208"/>
      <c r="F240" s="207"/>
      <c r="G240" s="207"/>
      <c r="H240" s="207"/>
      <c r="I240" s="207"/>
      <c r="J240" s="207"/>
      <c r="K240" s="207"/>
      <c r="L240" s="210"/>
      <c r="M240" s="207"/>
      <c r="N240" s="207"/>
      <c r="O240" s="207"/>
      <c r="P240" s="207"/>
      <c r="Q240" s="207"/>
      <c r="R240" s="207"/>
      <c r="S240" s="207"/>
      <c r="T240" s="207"/>
      <c r="U240" s="207"/>
      <c r="V240" s="207"/>
      <c r="W240" s="207"/>
      <c r="X240" s="207"/>
      <c r="Y240" s="207"/>
      <c r="Z240" s="207"/>
    </row>
    <row r="241" spans="1:26" ht="17.25">
      <c r="A241" s="206"/>
      <c r="B241" s="207"/>
      <c r="C241" s="207"/>
      <c r="D241" s="207"/>
      <c r="E241" s="208"/>
      <c r="F241" s="207"/>
      <c r="G241" s="207"/>
      <c r="H241" s="207"/>
      <c r="I241" s="207"/>
      <c r="J241" s="207"/>
      <c r="K241" s="207"/>
      <c r="L241" s="210"/>
      <c r="M241" s="207"/>
      <c r="N241" s="207"/>
      <c r="O241" s="207"/>
      <c r="P241" s="207"/>
      <c r="Q241" s="207"/>
      <c r="R241" s="207"/>
      <c r="S241" s="207"/>
      <c r="T241" s="207"/>
      <c r="U241" s="207"/>
      <c r="V241" s="207"/>
      <c r="W241" s="207"/>
      <c r="X241" s="207"/>
      <c r="Y241" s="207"/>
      <c r="Z241" s="207"/>
    </row>
    <row r="242" spans="1:26" ht="17.25">
      <c r="A242" s="206"/>
      <c r="B242" s="207"/>
      <c r="C242" s="207"/>
      <c r="D242" s="207"/>
      <c r="E242" s="208"/>
      <c r="F242" s="207"/>
      <c r="G242" s="207"/>
      <c r="H242" s="207"/>
      <c r="I242" s="207"/>
      <c r="J242" s="207"/>
      <c r="K242" s="207"/>
      <c r="L242" s="210"/>
      <c r="M242" s="207"/>
      <c r="N242" s="207"/>
      <c r="O242" s="207"/>
      <c r="P242" s="207"/>
      <c r="Q242" s="207"/>
      <c r="R242" s="207"/>
      <c r="S242" s="207"/>
      <c r="T242" s="207"/>
      <c r="U242" s="207"/>
      <c r="V242" s="207"/>
      <c r="W242" s="207"/>
      <c r="X242" s="207"/>
      <c r="Y242" s="207"/>
      <c r="Z242" s="207"/>
    </row>
    <row r="243" spans="1:26">
      <c r="A243" s="232" t="s">
        <v>267</v>
      </c>
      <c r="B243" s="233" t="s">
        <v>215</v>
      </c>
      <c r="C243" s="233" t="s">
        <v>216</v>
      </c>
      <c r="D243" s="233" t="s">
        <v>224</v>
      </c>
      <c r="E243" s="233" t="s">
        <v>219</v>
      </c>
      <c r="F243" s="233" t="s">
        <v>2283</v>
      </c>
      <c r="G243" s="233" t="s">
        <v>2284</v>
      </c>
      <c r="H243" s="233" t="s">
        <v>2285</v>
      </c>
      <c r="I243" s="215" t="s">
        <v>2286</v>
      </c>
      <c r="J243" s="215" t="s">
        <v>2287</v>
      </c>
      <c r="K243" s="215" t="s">
        <v>2288</v>
      </c>
      <c r="L243" s="234" t="s">
        <v>226</v>
      </c>
      <c r="M243" s="215" t="s">
        <v>217</v>
      </c>
      <c r="N243" s="215" t="s">
        <v>218</v>
      </c>
      <c r="O243" s="215" t="s">
        <v>220</v>
      </c>
      <c r="P243" s="215" t="s">
        <v>221</v>
      </c>
      <c r="Q243" s="215" t="s">
        <v>222</v>
      </c>
      <c r="R243" s="215" t="s">
        <v>223</v>
      </c>
      <c r="S243" s="215" t="s">
        <v>225</v>
      </c>
      <c r="T243" s="215" t="s">
        <v>227</v>
      </c>
      <c r="U243" s="215"/>
      <c r="V243" s="215"/>
      <c r="W243" s="215"/>
      <c r="X243" s="215"/>
      <c r="Y243" s="215"/>
      <c r="Z243" s="215"/>
    </row>
  </sheetData>
  <pageMargins left="0.7" right="0.7" top="0.75" bottom="0.75" header="0.3" footer="0.3"/>
  <pageSetup orientation="portrait"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vt:i4>
      </vt:variant>
    </vt:vector>
  </HeadingPairs>
  <TitlesOfParts>
    <vt:vector size="10" baseType="lpstr">
      <vt:lpstr>PRINT</vt:lpstr>
      <vt:lpstr>GEN</vt:lpstr>
      <vt:lpstr>Data</vt:lpstr>
      <vt:lpstr>REF</vt:lpstr>
      <vt:lpstr>QST</vt:lpstr>
      <vt:lpstr>e</vt:lpstr>
      <vt:lpstr>GEN!Área_de_impresión</vt:lpstr>
      <vt:lpstr>PRINT!Área_de_impresión</vt:lpstr>
      <vt:lpstr>QST!Área_de_impresión</vt:lpstr>
      <vt:lpstr>REF!Área_de_impresión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Kessler</dc:creator>
  <cp:lastModifiedBy>Jonathan Tobón Restrepo</cp:lastModifiedBy>
  <cp:lastPrinted>2020-08-21T18:27:21Z</cp:lastPrinted>
  <dcterms:created xsi:type="dcterms:W3CDTF">2019-05-13T13:48:35Z</dcterms:created>
  <dcterms:modified xsi:type="dcterms:W3CDTF">2022-03-31T13:23:28Z</dcterms:modified>
</cp:coreProperties>
</file>